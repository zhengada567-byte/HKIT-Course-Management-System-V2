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\HKIT Course Management System\Testing Data\"/>
    </mc:Choice>
  </mc:AlternateContent>
  <xr:revisionPtr revIDLastSave="0" documentId="13_ncr:1_{3889FC58-BF33-44BF-B3A5-6E1E956A44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ules" sheetId="1" r:id="rId1"/>
    <sheet name="Sheet1" sheetId="2" r:id="rId2"/>
  </sheets>
  <definedNames>
    <definedName name="_xlnm._FilterDatabase" localSheetId="0" hidden="1">Modules!$A$1:$J$146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0" i="1" l="1"/>
  <c r="I140" i="1"/>
  <c r="H140" i="1"/>
  <c r="G140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J2" i="1"/>
  <c r="I2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1" i="1" s="1"/>
  <c r="H142" i="1" s="1"/>
  <c r="H143" i="1" s="1"/>
  <c r="H144" i="1" s="1"/>
  <c r="H145" i="1" s="1"/>
  <c r="H146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1" i="1" s="1"/>
  <c r="G142" i="1" s="1"/>
  <c r="G143" i="1" s="1"/>
  <c r="G144" i="1" s="1"/>
  <c r="G145" i="1" s="1"/>
  <c r="G146" i="1" s="1"/>
</calcChain>
</file>

<file path=xl/sharedStrings.xml><?xml version="1.0" encoding="utf-8"?>
<sst xmlns="http://schemas.openxmlformats.org/spreadsheetml/2006/main" count="1866" uniqueCount="333">
  <si>
    <t>HD401</t>
  </si>
  <si>
    <t>Introduction to Academic English (CEF)</t>
  </si>
  <si>
    <t>HD404</t>
  </si>
  <si>
    <t>Professional Ethics</t>
  </si>
  <si>
    <t>HD402</t>
  </si>
  <si>
    <t>Practical Chinese (CEF)</t>
  </si>
  <si>
    <t>HD403</t>
  </si>
  <si>
    <t>Project Skills</t>
  </si>
  <si>
    <t>HD405</t>
  </si>
  <si>
    <t>English for Communication in Workplace</t>
  </si>
  <si>
    <t>CS402</t>
  </si>
  <si>
    <t>Programming Principles</t>
  </si>
  <si>
    <t>CS416</t>
  </si>
  <si>
    <t>Computing</t>
  </si>
  <si>
    <t>GS407</t>
  </si>
  <si>
    <t>Mathematics for Computer Science</t>
  </si>
  <si>
    <t>EE403</t>
  </si>
  <si>
    <t>Electrical Engineering Principles</t>
  </si>
  <si>
    <t>EE409</t>
  </si>
  <si>
    <t>Engineering Mathematics</t>
  </si>
  <si>
    <t>CS403</t>
  </si>
  <si>
    <t>Introduction to Networks and Computer Security</t>
  </si>
  <si>
    <t>CS426</t>
  </si>
  <si>
    <t>Data Communications</t>
  </si>
  <si>
    <t>CS425</t>
  </si>
  <si>
    <t>Systems Engineering and Project Management</t>
  </si>
  <si>
    <t>CS404</t>
  </si>
  <si>
    <t>Database Systems</t>
  </si>
  <si>
    <t>CS405</t>
  </si>
  <si>
    <t>Data Structures and Algorithms</t>
  </si>
  <si>
    <t>EE402</t>
  </si>
  <si>
    <t>Circuit Analysis</t>
  </si>
  <si>
    <t>EE410</t>
  </si>
  <si>
    <t>Energy and Power</t>
  </si>
  <si>
    <t>EE406</t>
  </si>
  <si>
    <t>Occupation Safety and Site Supervision</t>
  </si>
  <si>
    <t>CS401</t>
  </si>
  <si>
    <t>Computational Theory</t>
  </si>
  <si>
    <t>CS407</t>
  </si>
  <si>
    <t>Applied Cryptography</t>
  </si>
  <si>
    <t>CS420</t>
  </si>
  <si>
    <t>Programming Language Paradigms </t>
  </si>
  <si>
    <t>CS408</t>
  </si>
  <si>
    <t>Artificial Intelligence</t>
  </si>
  <si>
    <t>CS423</t>
  </si>
  <si>
    <t>Cloud, Distributed Architecture</t>
  </si>
  <si>
    <t>CS422</t>
  </si>
  <si>
    <t>Fundamental of Machine Learning</t>
  </si>
  <si>
    <t>EE401</t>
  </si>
  <si>
    <t>Analogue and Digital Electronics</t>
  </si>
  <si>
    <t>EE404</t>
  </si>
  <si>
    <t>Electrical Installations</t>
  </si>
  <si>
    <t>CS406</t>
  </si>
  <si>
    <t>Web and Mobile Application Security</t>
  </si>
  <si>
    <t>CS417</t>
  </si>
  <si>
    <t>Introduction to Ethical Hacking Skills</t>
  </si>
  <si>
    <t>CS414</t>
  </si>
  <si>
    <t>Internet and Mobile App Development</t>
  </si>
  <si>
    <t>CS421</t>
  </si>
  <si>
    <t>Advanced Algorithms</t>
  </si>
  <si>
    <t>CS424</t>
  </si>
  <si>
    <t>Secure Software Development</t>
  </si>
  <si>
    <t>CS427</t>
  </si>
  <si>
    <t>Machine Learning</t>
  </si>
  <si>
    <t>EE405</t>
  </si>
  <si>
    <t>Transformers and Electrical Machines</t>
  </si>
  <si>
    <t>EE411</t>
  </si>
  <si>
    <t>Engineering Projects</t>
  </si>
  <si>
    <t>EE408</t>
  </si>
  <si>
    <t>CAD &amp; BIM</t>
  </si>
  <si>
    <t>EE407</t>
  </si>
  <si>
    <t>Practical Electrical Training</t>
  </si>
  <si>
    <t>BS401</t>
  </si>
  <si>
    <t>Marketing</t>
  </si>
  <si>
    <t>BS402</t>
  </si>
  <si>
    <t>Leadership</t>
  </si>
  <si>
    <t>BS403</t>
  </si>
  <si>
    <t>Management of Organisational Behaviour</t>
  </si>
  <si>
    <t>BS404</t>
  </si>
  <si>
    <t>Accounting</t>
  </si>
  <si>
    <t>BS405</t>
  </si>
  <si>
    <t>Management</t>
  </si>
  <si>
    <t>BS412</t>
  </si>
  <si>
    <t>Business Planning</t>
  </si>
  <si>
    <t>GS420</t>
  </si>
  <si>
    <t>Sustainable Business</t>
  </si>
  <si>
    <t>BS406</t>
  </si>
  <si>
    <t>Economics</t>
  </si>
  <si>
    <t>BS414</t>
  </si>
  <si>
    <t>Human Resources Management</t>
  </si>
  <si>
    <t>BS418</t>
  </si>
  <si>
    <t>Contemporary Business Issues</t>
  </si>
  <si>
    <t>BS419</t>
  </si>
  <si>
    <t>Business Negotiation</t>
  </si>
  <si>
    <t>HC420</t>
  </si>
  <si>
    <t>Introduction to Health and Wellbeing and Services for the Elderly and Persons with Disabilities (HW1)</t>
  </si>
  <si>
    <t>HC421</t>
  </si>
  <si>
    <t>Understanding of Body System, Common Chronic Conditions and Basic Nursing Care (HW2)</t>
  </si>
  <si>
    <t>HC427</t>
  </si>
  <si>
    <t>Introduction to Health Assessment</t>
  </si>
  <si>
    <t>HC429</t>
  </si>
  <si>
    <t>Rehabilitation Principles and Designing Exercise Training Activities</t>
  </si>
  <si>
    <t>HC425</t>
  </si>
  <si>
    <t>Application of Multimedia in Health Promotion</t>
  </si>
  <si>
    <t>HC422</t>
  </si>
  <si>
    <t>Psychological and Mental Conditions Care (HW3)</t>
  </si>
  <si>
    <t>HC423</t>
  </si>
  <si>
    <t>Advanced Nursing Care and Basic Operation (HW4)</t>
  </si>
  <si>
    <t>HC428</t>
  </si>
  <si>
    <t>Mental Health and Wellbeing Across the Lifespan</t>
  </si>
  <si>
    <t>HC430</t>
  </si>
  <si>
    <t>Community Health and Health Promotion</t>
  </si>
  <si>
    <t>HC426</t>
  </si>
  <si>
    <t>Human Anatomy, Physiology and Pathophysiology</t>
  </si>
  <si>
    <t>HC431</t>
  </si>
  <si>
    <t>Policies and Advocacies in Health Settings</t>
  </si>
  <si>
    <t>HC424</t>
  </si>
  <si>
    <t>Visit and Practicum</t>
  </si>
  <si>
    <t>CP6CS46E</t>
  </si>
  <si>
    <t xml:space="preserve">Project  </t>
  </si>
  <si>
    <t>CP60057E</t>
  </si>
  <si>
    <t>CP60041E</t>
  </si>
  <si>
    <t>Advanced Topics in Cyber Security</t>
  </si>
  <si>
    <t>CP60042E</t>
  </si>
  <si>
    <t>Enterprise Security Management</t>
  </si>
  <si>
    <t>CP6HK61E</t>
  </si>
  <si>
    <t>Cyber Crime</t>
  </si>
  <si>
    <t>CP6HK19E</t>
  </si>
  <si>
    <t>Applied Software Engineering</t>
  </si>
  <si>
    <t>CP6HK60E</t>
  </si>
  <si>
    <t>Distributed Systems</t>
  </si>
  <si>
    <t>CP6HK50E</t>
  </si>
  <si>
    <t>Databases and Analytics</t>
  </si>
  <si>
    <t>COM646</t>
  </si>
  <si>
    <t>Project</t>
  </si>
  <si>
    <t>COM661</t>
  </si>
  <si>
    <t>Deep Learning Implementation</t>
  </si>
  <si>
    <t>COM658</t>
  </si>
  <si>
    <t>Cryptography and Defensive Systems</t>
  </si>
  <si>
    <t>COM664</t>
  </si>
  <si>
    <t>Data Analysis and Visualisation</t>
  </si>
  <si>
    <t>COM659</t>
  </si>
  <si>
    <t>Emerfent Technologies</t>
  </si>
  <si>
    <t>BUS688</t>
  </si>
  <si>
    <t>Advanced Financial Management</t>
  </si>
  <si>
    <t>BUS692</t>
  </si>
  <si>
    <t>Dissertation</t>
  </si>
  <si>
    <t>BUS699</t>
  </si>
  <si>
    <t>Strategic Management</t>
  </si>
  <si>
    <t>AF-01</t>
  </si>
  <si>
    <t>Accounting and Finance Skills Top Up Course</t>
  </si>
  <si>
    <t>BUS689</t>
  </si>
  <si>
    <t>Audit and Assurance</t>
  </si>
  <si>
    <t>BUS694</t>
  </si>
  <si>
    <t>Financial Reporting and Analysis</t>
  </si>
  <si>
    <t>BUS693</t>
  </si>
  <si>
    <t>Employment Law</t>
  </si>
  <si>
    <t>BUS698</t>
  </si>
  <si>
    <t>BUS6A1</t>
  </si>
  <si>
    <t>Strategic Marketing</t>
  </si>
  <si>
    <t>MS6HK43E</t>
  </si>
  <si>
    <t>BA6HK75E</t>
  </si>
  <si>
    <t>Career Strategy and Planning</t>
  </si>
  <si>
    <t>BA6HK76E</t>
  </si>
  <si>
    <t>Business Sustainability and Social Responsibility in Practice</t>
  </si>
  <si>
    <t>BA6HK850</t>
  </si>
  <si>
    <t>Theory of Innovation</t>
  </si>
  <si>
    <t>BA6HK860</t>
  </si>
  <si>
    <t>Creative Problem Solving in Business</t>
  </si>
  <si>
    <t>BA6HK870</t>
  </si>
  <si>
    <t>Business Innovation in Practice</t>
  </si>
  <si>
    <t>PH01</t>
  </si>
  <si>
    <t>Public Health in Action</t>
  </si>
  <si>
    <t>PH02</t>
  </si>
  <si>
    <t>Promoting and Developing Healthy Public Policy</t>
  </si>
  <si>
    <t>PH03</t>
  </si>
  <si>
    <t>Designing, Delivering, Monitoring and</t>
  </si>
  <si>
    <t>Evaluating Public Health Interventions</t>
  </si>
  <si>
    <t>PH04</t>
  </si>
  <si>
    <t>Developing Leadership for Health Improvement</t>
  </si>
  <si>
    <t>PH05</t>
  </si>
  <si>
    <t>Professional Project: Public Health Intervention Project</t>
  </si>
  <si>
    <t>Introduction to Policing</t>
  </si>
  <si>
    <t>CI405</t>
  </si>
  <si>
    <t>Introduction to Criminal Justice System</t>
  </si>
  <si>
    <t>GS401</t>
  </si>
  <si>
    <t>Introduction to Criminology</t>
  </si>
  <si>
    <t>Introduction to Forensic Science Investigation</t>
  </si>
  <si>
    <t>Penal System and Victim Support</t>
  </si>
  <si>
    <t>Crime and Criminal Behaviour</t>
  </si>
  <si>
    <t>GS419</t>
  </si>
  <si>
    <t>Cybercrime</t>
  </si>
  <si>
    <t>SC402</t>
  </si>
  <si>
    <t>Statistics</t>
  </si>
  <si>
    <t>SC414</t>
  </si>
  <si>
    <t>Introduction to Criminal Law and Procedures</t>
  </si>
  <si>
    <t>Criminal Investigation</t>
  </si>
  <si>
    <t>GS413</t>
  </si>
  <si>
    <t>Studies of Transnational Crime</t>
  </si>
  <si>
    <t>Complex Crime Scene Investigation</t>
  </si>
  <si>
    <t>Understanding and Preventing Corruption: Theory and Practice</t>
  </si>
  <si>
    <t>Critical Perspectives on Terrorism &amp; Counter-Terrorism</t>
  </si>
  <si>
    <t>Punishment, Rehabilitation and Offender Management</t>
  </si>
  <si>
    <t>Mental Health, Wellbeing and Resilience in Criminal Justice</t>
  </si>
  <si>
    <t>Drugs and Crime in Criminal Justice</t>
  </si>
  <si>
    <t>Y1</t>
  </si>
  <si>
    <t>Y2</t>
  </si>
  <si>
    <t>Y3</t>
  </si>
  <si>
    <t>Sep</t>
  </si>
  <si>
    <t>Feb</t>
  </si>
  <si>
    <t>Jun</t>
  </si>
  <si>
    <t>HDC</t>
  </si>
  <si>
    <t>HDEE</t>
  </si>
  <si>
    <t>Cyber Security</t>
  </si>
  <si>
    <t>Information Systems</t>
  </si>
  <si>
    <t>HDBA</t>
  </si>
  <si>
    <t>HDHC</t>
  </si>
  <si>
    <t>UWLCS</t>
  </si>
  <si>
    <t>UWLC</t>
  </si>
  <si>
    <t>WUCS</t>
  </si>
  <si>
    <t>WUAFM</t>
  </si>
  <si>
    <t>WUBM</t>
  </si>
  <si>
    <t>WWUAFM</t>
  </si>
  <si>
    <t>UWLBS</t>
  </si>
  <si>
    <t>UWLPH</t>
  </si>
  <si>
    <t>HDCI</t>
  </si>
  <si>
    <t>UWLCFI</t>
  </si>
  <si>
    <t>HD403_HDC</t>
  </si>
  <si>
    <t>CS404_EE</t>
  </si>
  <si>
    <t>CS408_EE</t>
  </si>
  <si>
    <t>Managing People in an International Context</t>
  </si>
  <si>
    <t>UWLCFI1</t>
  </si>
  <si>
    <t>UWLCFI2</t>
  </si>
  <si>
    <t>UWLCFI3</t>
  </si>
  <si>
    <t>UWLCFI4</t>
  </si>
  <si>
    <t>UWLCFI5</t>
  </si>
  <si>
    <t>UWLCFI6</t>
  </si>
  <si>
    <t>UWLCFI7</t>
  </si>
  <si>
    <t>CI411</t>
  </si>
  <si>
    <t>CI412</t>
  </si>
  <si>
    <t>CI413</t>
  </si>
  <si>
    <t>CI414</t>
  </si>
  <si>
    <t>CI415</t>
  </si>
  <si>
    <t>CI416</t>
  </si>
  <si>
    <t>CI417</t>
  </si>
  <si>
    <t>Module Code</t>
  </si>
  <si>
    <t>Module Name</t>
  </si>
  <si>
    <t>Module Year</t>
  </si>
  <si>
    <t>Module Term</t>
  </si>
  <si>
    <t>Programme Code</t>
  </si>
  <si>
    <t>Stream Code</t>
  </si>
  <si>
    <t>Proposed Teacher</t>
  </si>
  <si>
    <t>Enrollment Student Number</t>
  </si>
  <si>
    <t>Actual Student Number</t>
  </si>
  <si>
    <t>Teaching Status</t>
  </si>
  <si>
    <t>Programme</t>
  </si>
  <si>
    <t>Stream</t>
  </si>
  <si>
    <t>Semester</t>
  </si>
  <si>
    <t>Mode (N/D/S)</t>
  </si>
  <si>
    <t>FT/PT</t>
  </si>
  <si>
    <t>Combined</t>
  </si>
  <si>
    <t>HD</t>
  </si>
  <si>
    <t>D</t>
  </si>
  <si>
    <t>Mr Ray Leung</t>
  </si>
  <si>
    <t>PT</t>
  </si>
  <si>
    <t>HD401_N</t>
  </si>
  <si>
    <t>N</t>
  </si>
  <si>
    <t>Mr Richard Ng</t>
  </si>
  <si>
    <t>Mr Walter Chan</t>
  </si>
  <si>
    <t>FT</t>
  </si>
  <si>
    <t>HD404_N</t>
  </si>
  <si>
    <t>Mr Alan Ho</t>
  </si>
  <si>
    <t>HD402_N</t>
  </si>
  <si>
    <t>Mr Chris Chau</t>
  </si>
  <si>
    <t>HD403_N</t>
  </si>
  <si>
    <t>Mr Richard Cheng</t>
  </si>
  <si>
    <t>HD405_N</t>
  </si>
  <si>
    <t>Mr. Mike Wong</t>
  </si>
  <si>
    <t>CS402_N</t>
  </si>
  <si>
    <t>Mr. Vito Chung</t>
  </si>
  <si>
    <t>Ms. Jo Hugn</t>
  </si>
  <si>
    <t>CS416_N</t>
  </si>
  <si>
    <t>Dr Kenneth So</t>
  </si>
  <si>
    <t>Mr. Yuman Chau</t>
  </si>
  <si>
    <t>Mr. Gary Chan</t>
  </si>
  <si>
    <t>CS404_N</t>
  </si>
  <si>
    <t>CS405_N</t>
  </si>
  <si>
    <t>TBC</t>
  </si>
  <si>
    <t>Mr. Ben Wong</t>
  </si>
  <si>
    <t>Cyber Security,Information Systems</t>
  </si>
  <si>
    <t>Dr HK Ng</t>
  </si>
  <si>
    <t>Dr Jonathan Lee</t>
  </si>
  <si>
    <t>Mr. Eric Moy</t>
  </si>
  <si>
    <r>
      <t>CS</t>
    </r>
    <r>
      <rPr>
        <sz val="11"/>
        <color rgb="FF000000"/>
        <rFont val="微軟正黑體"/>
        <family val="2"/>
        <charset val="134"/>
      </rPr>
      <t>414</t>
    </r>
  </si>
  <si>
    <r>
      <t>CS4</t>
    </r>
    <r>
      <rPr>
        <sz val="11"/>
        <color rgb="FF000000"/>
        <rFont val="微軟正黑體"/>
        <family val="2"/>
        <charset val="134"/>
      </rPr>
      <t>21</t>
    </r>
  </si>
  <si>
    <r>
      <t>CS4</t>
    </r>
    <r>
      <rPr>
        <sz val="11"/>
        <color rgb="FF000000"/>
        <rFont val="微軟正黑體"/>
        <family val="2"/>
        <charset val="134"/>
      </rPr>
      <t>24</t>
    </r>
  </si>
  <si>
    <r>
      <t>CS4</t>
    </r>
    <r>
      <rPr>
        <sz val="11"/>
        <color rgb="FF000000"/>
        <rFont val="微軟正黑體"/>
        <family val="2"/>
        <charset val="134"/>
      </rPr>
      <t>27</t>
    </r>
  </si>
  <si>
    <t>Ms. Nicola Chow</t>
  </si>
  <si>
    <t>Mr. Anderson Chui</t>
  </si>
  <si>
    <t>Mr. Newman Lo</t>
  </si>
  <si>
    <t>Dr Alphaeus Tam</t>
  </si>
  <si>
    <t>Ms Nicola Chow</t>
  </si>
  <si>
    <t>Mr. Philip Chan</t>
  </si>
  <si>
    <t>Dr Ada Zheng</t>
  </si>
  <si>
    <t>Mr. Patrick Tsang</t>
  </si>
  <si>
    <t>Mr. Sam Mang</t>
  </si>
  <si>
    <t>Mr. Russel Lo</t>
  </si>
  <si>
    <t>Dr Monica Cheung</t>
  </si>
  <si>
    <t>Mr Newman Lo</t>
  </si>
  <si>
    <t>Managing People in an</t>
  </si>
  <si>
    <t>International Context</t>
  </si>
  <si>
    <t>Philip Chan</t>
  </si>
  <si>
    <t>Mr. Walter Chan</t>
  </si>
  <si>
    <t>Mr. Ivan So</t>
  </si>
  <si>
    <t>Mr. Stanley Wong</t>
  </si>
  <si>
    <t>Mr. Louis Man</t>
  </si>
  <si>
    <t>Dr. Ernest So</t>
  </si>
  <si>
    <t>SC402_N</t>
  </si>
  <si>
    <t>Mr. Vincent Cheng</t>
  </si>
  <si>
    <t>Dr. Ernest So and Supervisors</t>
  </si>
  <si>
    <t>Core</t>
  </si>
  <si>
    <t>Optional A1</t>
  </si>
  <si>
    <t>Optional A2</t>
  </si>
  <si>
    <t>Optional B1</t>
  </si>
  <si>
    <t>Optional B2</t>
  </si>
  <si>
    <t>BUS692Sep</t>
  </si>
  <si>
    <t>COM646Feb</t>
  </si>
  <si>
    <t>COM646Sep</t>
  </si>
  <si>
    <t>BUS692Feb</t>
  </si>
  <si>
    <t>CP6CS46ESep</t>
  </si>
  <si>
    <t>CP6CS46EFeb</t>
  </si>
  <si>
    <t>UWLCFI1Sep</t>
  </si>
  <si>
    <t>UWLCFI1Feb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</si>
</sst>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新細明體"/>
      <family val="2"/>
    </font>
    <font>
      <sz val="11"/>
      <color rgb="FF000000"/>
      <name val="微軟正黑體"/>
      <family val="2"/>
      <charset val="134"/>
    </font>
    <font>
      <sz val="8"/>
      <name val="Calibri"/>
      <family val="2"/>
      <scheme val="minor"/>
    </font>
    <font>
      <sz val="11"/>
      <color rgb="FFFF0000"/>
      <name val="微軟正黑體"/>
      <family val="2"/>
      <charset val="134"/>
    </font>
    <font>
      <sz val="11"/>
      <color rgb="FF000000"/>
      <name val="PMingLiU"/>
      <family val="1"/>
      <charset val="136"/>
    </font>
    <font>
      <sz val="12"/>
      <name val="Times New Roman"/>
      <family val="1"/>
    </font>
    <font>
      <sz val="11"/>
      <color rgb="FF000000"/>
      <name val="Arial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0" fillId="0" borderId="2" xfId="0" applyBorder="1"/>
    <xf numFmtId="0" fontId="1" fillId="0" borderId="3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0" xfId="0" applyFont="1"/>
    <xf numFmtId="0" fontId="1" fillId="0" borderId="6" xfId="0" applyFont="1" applyBorder="1"/>
    <xf numFmtId="0" fontId="2" fillId="0" borderId="6" xfId="0" applyFont="1" applyBorder="1"/>
    <xf numFmtId="0" fontId="1" fillId="0" borderId="7" xfId="0" applyFont="1" applyBorder="1"/>
    <xf numFmtId="0" fontId="4" fillId="0" borderId="3" xfId="0" applyFont="1" applyBorder="1"/>
    <xf numFmtId="0" fontId="1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wrapText="1"/>
    </xf>
    <xf numFmtId="0" fontId="1" fillId="0" borderId="9" xfId="0" applyFont="1" applyBorder="1"/>
    <xf numFmtId="0" fontId="2" fillId="0" borderId="9" xfId="0" applyFont="1" applyBorder="1"/>
    <xf numFmtId="0" fontId="5" fillId="0" borderId="3" xfId="0" applyFont="1" applyBorder="1"/>
    <xf numFmtId="0" fontId="1" fillId="0" borderId="5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/>
    <xf numFmtId="0" fontId="1" fillId="2" borderId="1" xfId="0" applyFont="1" applyFill="1" applyBorder="1"/>
    <xf numFmtId="0" fontId="7" fillId="0" borderId="3" xfId="0" applyFont="1" applyBorder="1"/>
    <xf numFmtId="0" fontId="6" fillId="0" borderId="1" xfId="0" applyFont="1" applyBorder="1"/>
    <xf numFmtId="0" fontId="8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 applyAlignment="1">
      <alignment wrapText="1"/>
    </xf>
    <xf numFmtId="0" fontId="1" fillId="0" borderId="6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A133" workbookViewId="0">
      <selection activeCell="A142" sqref="A142"/>
    </sheetView>
  </sheetViews>
  <sheetFormatPr defaultRowHeight="14.5"/>
  <cols>
    <col min="1" max="1" width="20.08984375" customWidth="1"/>
    <col min="2" max="2" width="86.08984375" bestFit="1" customWidth="1"/>
    <col min="3" max="3" width="11.26953125" bestFit="1" customWidth="1"/>
    <col min="4" max="4" width="11.6328125" bestFit="1" customWidth="1"/>
    <col min="5" max="5" width="15.1796875" bestFit="1" customWidth="1"/>
    <col min="6" max="6" width="34.6328125" bestFit="1" customWidth="1"/>
    <col min="7" max="7" width="24.453125" bestFit="1" customWidth="1"/>
    <col min="8" max="8" width="20.36328125" bestFit="1" customWidth="1"/>
    <col min="9" max="9" width="15.90625" bestFit="1" customWidth="1"/>
    <col min="10" max="10" width="13.81640625" bestFit="1" customWidth="1"/>
  </cols>
  <sheetData>
    <row r="1" spans="1:10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5" t="s">
        <v>252</v>
      </c>
      <c r="H1" s="5" t="s">
        <v>253</v>
      </c>
      <c r="I1" s="5" t="s">
        <v>251</v>
      </c>
      <c r="J1" s="5" t="s">
        <v>254</v>
      </c>
    </row>
    <row r="2" spans="1:10">
      <c r="A2" s="1" t="s">
        <v>0</v>
      </c>
      <c r="B2" s="1" t="s">
        <v>1</v>
      </c>
      <c r="C2" s="2" t="s">
        <v>205</v>
      </c>
      <c r="D2" s="2" t="s">
        <v>208</v>
      </c>
      <c r="E2" s="2" t="s">
        <v>215</v>
      </c>
      <c r="F2" s="2"/>
      <c r="G2">
        <v>20</v>
      </c>
      <c r="H2">
        <v>10</v>
      </c>
      <c r="I2" t="str">
        <f>VLOOKUP($A2,Sheet1!$E:$I,4,0)</f>
        <v>Mr Ray Leung</v>
      </c>
      <c r="J2" t="str">
        <f>VLOOKUP($A2,Sheet1!$E:$I,5,0)</f>
        <v>PT</v>
      </c>
    </row>
    <row r="3" spans="1:10">
      <c r="A3" s="1" t="s">
        <v>0</v>
      </c>
      <c r="B3" s="1" t="s">
        <v>1</v>
      </c>
      <c r="C3" s="2" t="s">
        <v>205</v>
      </c>
      <c r="D3" s="2" t="s">
        <v>208</v>
      </c>
      <c r="E3" s="2" t="s">
        <v>211</v>
      </c>
      <c r="F3" s="2"/>
      <c r="G3">
        <f>G2</f>
        <v>20</v>
      </c>
      <c r="H3">
        <f>H2</f>
        <v>10</v>
      </c>
      <c r="I3" t="str">
        <f>VLOOKUP($A3,Sheet1!$E:$I,4,0)</f>
        <v>Mr Ray Leung</v>
      </c>
      <c r="J3" t="str">
        <f>VLOOKUP($A3,Sheet1!$E:$I,5,0)</f>
        <v>PT</v>
      </c>
    </row>
    <row r="4" spans="1:10">
      <c r="A4" s="1" t="s">
        <v>0</v>
      </c>
      <c r="B4" s="1" t="s">
        <v>1</v>
      </c>
      <c r="C4" s="2" t="s">
        <v>205</v>
      </c>
      <c r="D4" s="2" t="s">
        <v>208</v>
      </c>
      <c r="E4" s="2" t="s">
        <v>225</v>
      </c>
      <c r="F4" s="2"/>
      <c r="G4">
        <f t="shared" ref="G4:G67" si="0">G3</f>
        <v>20</v>
      </c>
      <c r="H4">
        <f t="shared" ref="H4:H67" si="1">H3</f>
        <v>10</v>
      </c>
      <c r="I4" t="str">
        <f>VLOOKUP($A4,Sheet1!$E:$I,4,0)</f>
        <v>Mr Ray Leung</v>
      </c>
      <c r="J4" t="str">
        <f>VLOOKUP($A4,Sheet1!$E:$I,5,0)</f>
        <v>PT</v>
      </c>
    </row>
    <row r="5" spans="1:10">
      <c r="A5" s="1" t="s">
        <v>0</v>
      </c>
      <c r="B5" s="1" t="s">
        <v>1</v>
      </c>
      <c r="C5" s="2" t="s">
        <v>205</v>
      </c>
      <c r="D5" s="2" t="s">
        <v>208</v>
      </c>
      <c r="E5" s="2" t="s">
        <v>212</v>
      </c>
      <c r="F5" s="2"/>
      <c r="G5">
        <f t="shared" si="0"/>
        <v>20</v>
      </c>
      <c r="H5">
        <f t="shared" si="1"/>
        <v>10</v>
      </c>
      <c r="I5" t="str">
        <f>VLOOKUP($A5,Sheet1!$E:$I,4,0)</f>
        <v>Mr Ray Leung</v>
      </c>
      <c r="J5" t="str">
        <f>VLOOKUP($A5,Sheet1!$E:$I,5,0)</f>
        <v>PT</v>
      </c>
    </row>
    <row r="6" spans="1:10">
      <c r="A6" s="1" t="s">
        <v>0</v>
      </c>
      <c r="B6" s="1" t="s">
        <v>1</v>
      </c>
      <c r="C6" s="2" t="s">
        <v>205</v>
      </c>
      <c r="D6" s="2" t="s">
        <v>208</v>
      </c>
      <c r="E6" s="2" t="s">
        <v>216</v>
      </c>
      <c r="F6" s="2"/>
      <c r="G6">
        <f t="shared" si="0"/>
        <v>20</v>
      </c>
      <c r="H6">
        <f t="shared" si="1"/>
        <v>10</v>
      </c>
      <c r="I6" t="str">
        <f>VLOOKUP($A6,Sheet1!$E:$I,4,0)</f>
        <v>Mr Ray Leung</v>
      </c>
      <c r="J6" t="str">
        <f>VLOOKUP($A6,Sheet1!$E:$I,5,0)</f>
        <v>PT</v>
      </c>
    </row>
    <row r="7" spans="1:10">
      <c r="A7" s="1" t="s">
        <v>2</v>
      </c>
      <c r="B7" s="1" t="s">
        <v>3</v>
      </c>
      <c r="C7" s="2" t="s">
        <v>206</v>
      </c>
      <c r="D7" s="2" t="s">
        <v>208</v>
      </c>
      <c r="E7" s="2" t="s">
        <v>215</v>
      </c>
      <c r="F7" s="2"/>
      <c r="G7">
        <f t="shared" si="0"/>
        <v>20</v>
      </c>
      <c r="H7">
        <f t="shared" si="1"/>
        <v>10</v>
      </c>
      <c r="I7" t="str">
        <f>VLOOKUP($A7,Sheet1!$E:$I,4,0)</f>
        <v>Mr Walter Chan</v>
      </c>
      <c r="J7" t="str">
        <f>VLOOKUP($A7,Sheet1!$E:$I,5,0)</f>
        <v>FT</v>
      </c>
    </row>
    <row r="8" spans="1:10">
      <c r="A8" s="1" t="s">
        <v>2</v>
      </c>
      <c r="B8" s="1" t="s">
        <v>3</v>
      </c>
      <c r="C8" s="2" t="s">
        <v>206</v>
      </c>
      <c r="D8" s="2" t="s">
        <v>208</v>
      </c>
      <c r="E8" s="2" t="s">
        <v>211</v>
      </c>
      <c r="F8" s="2"/>
      <c r="G8">
        <f t="shared" si="0"/>
        <v>20</v>
      </c>
      <c r="H8">
        <f t="shared" si="1"/>
        <v>10</v>
      </c>
      <c r="I8" t="str">
        <f>VLOOKUP($A8,Sheet1!$E:$I,4,0)</f>
        <v>Mr Walter Chan</v>
      </c>
      <c r="J8" t="str">
        <f>VLOOKUP($A8,Sheet1!$E:$I,5,0)</f>
        <v>FT</v>
      </c>
    </row>
    <row r="9" spans="1:10">
      <c r="A9" s="1" t="s">
        <v>2</v>
      </c>
      <c r="B9" s="1" t="s">
        <v>3</v>
      </c>
      <c r="C9" s="2" t="s">
        <v>206</v>
      </c>
      <c r="D9" s="2" t="s">
        <v>208</v>
      </c>
      <c r="E9" s="2" t="s">
        <v>225</v>
      </c>
      <c r="F9" s="2"/>
      <c r="G9">
        <f t="shared" si="0"/>
        <v>20</v>
      </c>
      <c r="H9">
        <f t="shared" si="1"/>
        <v>10</v>
      </c>
      <c r="I9" t="str">
        <f>VLOOKUP($A9,Sheet1!$E:$I,4,0)</f>
        <v>Mr Walter Chan</v>
      </c>
      <c r="J9" t="str">
        <f>VLOOKUP($A9,Sheet1!$E:$I,5,0)</f>
        <v>FT</v>
      </c>
    </row>
    <row r="10" spans="1:10">
      <c r="A10" s="1" t="s">
        <v>2</v>
      </c>
      <c r="B10" s="1" t="s">
        <v>3</v>
      </c>
      <c r="C10" s="2" t="s">
        <v>206</v>
      </c>
      <c r="D10" s="2" t="s">
        <v>208</v>
      </c>
      <c r="E10" s="2" t="s">
        <v>212</v>
      </c>
      <c r="F10" s="2"/>
      <c r="G10">
        <f t="shared" si="0"/>
        <v>20</v>
      </c>
      <c r="H10">
        <f t="shared" si="1"/>
        <v>10</v>
      </c>
      <c r="I10" t="str">
        <f>VLOOKUP($A10,Sheet1!$E:$I,4,0)</f>
        <v>Mr Walter Chan</v>
      </c>
      <c r="J10" t="str">
        <f>VLOOKUP($A10,Sheet1!$E:$I,5,0)</f>
        <v>FT</v>
      </c>
    </row>
    <row r="11" spans="1:10">
      <c r="A11" s="1" t="s">
        <v>2</v>
      </c>
      <c r="B11" s="1" t="s">
        <v>3</v>
      </c>
      <c r="C11" s="2" t="s">
        <v>206</v>
      </c>
      <c r="D11" s="2" t="s">
        <v>208</v>
      </c>
      <c r="E11" s="2" t="s">
        <v>216</v>
      </c>
      <c r="F11" s="2"/>
      <c r="G11">
        <f t="shared" si="0"/>
        <v>20</v>
      </c>
      <c r="H11">
        <f t="shared" si="1"/>
        <v>10</v>
      </c>
      <c r="I11" t="str">
        <f>VLOOKUP($A11,Sheet1!$E:$I,4,0)</f>
        <v>Mr Walter Chan</v>
      </c>
      <c r="J11" t="str">
        <f>VLOOKUP($A11,Sheet1!$E:$I,5,0)</f>
        <v>FT</v>
      </c>
    </row>
    <row r="12" spans="1:10">
      <c r="A12" s="1" t="s">
        <v>4</v>
      </c>
      <c r="B12" s="1" t="s">
        <v>5</v>
      </c>
      <c r="C12" s="2" t="s">
        <v>205</v>
      </c>
      <c r="D12" s="2" t="s">
        <v>209</v>
      </c>
      <c r="E12" s="2" t="s">
        <v>215</v>
      </c>
      <c r="F12" s="2"/>
      <c r="G12">
        <f t="shared" si="0"/>
        <v>20</v>
      </c>
      <c r="H12">
        <f t="shared" si="1"/>
        <v>10</v>
      </c>
      <c r="I12" t="str">
        <f>VLOOKUP($A12,Sheet1!$E:$I,4,0)</f>
        <v>Mr Alan Ho</v>
      </c>
      <c r="J12" t="str">
        <f>VLOOKUP($A12,Sheet1!$E:$I,5,0)</f>
        <v>FT</v>
      </c>
    </row>
    <row r="13" spans="1:10">
      <c r="A13" s="1" t="s">
        <v>4</v>
      </c>
      <c r="B13" s="1" t="s">
        <v>5</v>
      </c>
      <c r="C13" s="2" t="s">
        <v>205</v>
      </c>
      <c r="D13" s="2" t="s">
        <v>209</v>
      </c>
      <c r="E13" s="2" t="s">
        <v>211</v>
      </c>
      <c r="F13" s="2"/>
      <c r="G13">
        <f t="shared" si="0"/>
        <v>20</v>
      </c>
      <c r="H13">
        <f t="shared" si="1"/>
        <v>10</v>
      </c>
      <c r="I13" t="str">
        <f>VLOOKUP($A13,Sheet1!$E:$I,4,0)</f>
        <v>Mr Alan Ho</v>
      </c>
      <c r="J13" t="str">
        <f>VLOOKUP($A13,Sheet1!$E:$I,5,0)</f>
        <v>FT</v>
      </c>
    </row>
    <row r="14" spans="1:10">
      <c r="A14" s="1" t="s">
        <v>4</v>
      </c>
      <c r="B14" s="1" t="s">
        <v>5</v>
      </c>
      <c r="C14" s="2" t="s">
        <v>205</v>
      </c>
      <c r="D14" s="2" t="s">
        <v>209</v>
      </c>
      <c r="E14" s="2" t="s">
        <v>225</v>
      </c>
      <c r="F14" s="2"/>
      <c r="G14">
        <f t="shared" si="0"/>
        <v>20</v>
      </c>
      <c r="H14">
        <f t="shared" si="1"/>
        <v>10</v>
      </c>
      <c r="I14" t="str">
        <f>VLOOKUP($A14,Sheet1!$E:$I,4,0)</f>
        <v>Mr Alan Ho</v>
      </c>
      <c r="J14" t="str">
        <f>VLOOKUP($A14,Sheet1!$E:$I,5,0)</f>
        <v>FT</v>
      </c>
    </row>
    <row r="15" spans="1:10">
      <c r="A15" s="1" t="s">
        <v>4</v>
      </c>
      <c r="B15" s="1" t="s">
        <v>5</v>
      </c>
      <c r="C15" s="2" t="s">
        <v>205</v>
      </c>
      <c r="D15" s="2" t="s">
        <v>209</v>
      </c>
      <c r="E15" s="2" t="s">
        <v>212</v>
      </c>
      <c r="F15" s="2"/>
      <c r="G15">
        <f t="shared" si="0"/>
        <v>20</v>
      </c>
      <c r="H15">
        <f t="shared" si="1"/>
        <v>10</v>
      </c>
      <c r="I15" t="str">
        <f>VLOOKUP($A15,Sheet1!$E:$I,4,0)</f>
        <v>Mr Alan Ho</v>
      </c>
      <c r="J15" t="str">
        <f>VLOOKUP($A15,Sheet1!$E:$I,5,0)</f>
        <v>FT</v>
      </c>
    </row>
    <row r="16" spans="1:10">
      <c r="A16" s="1" t="s">
        <v>4</v>
      </c>
      <c r="B16" s="1" t="s">
        <v>5</v>
      </c>
      <c r="C16" s="2" t="s">
        <v>205</v>
      </c>
      <c r="D16" s="2" t="s">
        <v>209</v>
      </c>
      <c r="E16" s="2" t="s">
        <v>216</v>
      </c>
      <c r="F16" s="2"/>
      <c r="G16">
        <f t="shared" si="0"/>
        <v>20</v>
      </c>
      <c r="H16">
        <f t="shared" si="1"/>
        <v>10</v>
      </c>
      <c r="I16" t="str">
        <f>VLOOKUP($A16,Sheet1!$E:$I,4,0)</f>
        <v>Mr Alan Ho</v>
      </c>
      <c r="J16" t="str">
        <f>VLOOKUP($A16,Sheet1!$E:$I,5,0)</f>
        <v>FT</v>
      </c>
    </row>
    <row r="17" spans="1:10">
      <c r="A17" s="1" t="s">
        <v>6</v>
      </c>
      <c r="B17" s="1" t="s">
        <v>7</v>
      </c>
      <c r="C17" s="2" t="s">
        <v>206</v>
      </c>
      <c r="D17" s="2" t="s">
        <v>209</v>
      </c>
      <c r="E17" s="2" t="s">
        <v>215</v>
      </c>
      <c r="F17" s="2"/>
      <c r="G17">
        <f t="shared" si="0"/>
        <v>20</v>
      </c>
      <c r="H17">
        <f t="shared" si="1"/>
        <v>10</v>
      </c>
      <c r="I17" t="str">
        <f>VLOOKUP($A17,Sheet1!$E:$I,4,0)</f>
        <v>Mr Walter Chan</v>
      </c>
      <c r="J17" t="str">
        <f>VLOOKUP($A17,Sheet1!$E:$I,5,0)</f>
        <v>FT</v>
      </c>
    </row>
    <row r="18" spans="1:10">
      <c r="A18" s="1" t="s">
        <v>227</v>
      </c>
      <c r="B18" s="1" t="s">
        <v>7</v>
      </c>
      <c r="C18" s="2" t="s">
        <v>206</v>
      </c>
      <c r="D18" s="2" t="s">
        <v>209</v>
      </c>
      <c r="E18" s="2" t="s">
        <v>211</v>
      </c>
      <c r="F18" s="2"/>
      <c r="G18">
        <f t="shared" si="0"/>
        <v>20</v>
      </c>
      <c r="H18">
        <f t="shared" si="1"/>
        <v>10</v>
      </c>
      <c r="I18" t="s">
        <v>290</v>
      </c>
      <c r="J18" t="s">
        <v>269</v>
      </c>
    </row>
    <row r="19" spans="1:10">
      <c r="A19" s="1" t="s">
        <v>6</v>
      </c>
      <c r="B19" s="1" t="s">
        <v>7</v>
      </c>
      <c r="C19" s="2" t="s">
        <v>206</v>
      </c>
      <c r="D19" s="2" t="s">
        <v>209</v>
      </c>
      <c r="E19" s="2" t="s">
        <v>225</v>
      </c>
      <c r="F19" s="2"/>
      <c r="G19">
        <f t="shared" si="0"/>
        <v>20</v>
      </c>
      <c r="H19">
        <f t="shared" si="1"/>
        <v>10</v>
      </c>
      <c r="I19" t="str">
        <f>VLOOKUP($A19,Sheet1!$E:$I,4,0)</f>
        <v>Mr Walter Chan</v>
      </c>
      <c r="J19" t="str">
        <f>VLOOKUP($A19,Sheet1!$E:$I,5,0)</f>
        <v>FT</v>
      </c>
    </row>
    <row r="20" spans="1:10">
      <c r="A20" s="1" t="s">
        <v>6</v>
      </c>
      <c r="B20" s="1" t="s">
        <v>7</v>
      </c>
      <c r="C20" s="2" t="s">
        <v>206</v>
      </c>
      <c r="D20" s="2" t="s">
        <v>209</v>
      </c>
      <c r="E20" s="2" t="s">
        <v>212</v>
      </c>
      <c r="F20" s="2"/>
      <c r="G20">
        <f t="shared" si="0"/>
        <v>20</v>
      </c>
      <c r="H20">
        <f t="shared" si="1"/>
        <v>10</v>
      </c>
      <c r="I20" t="str">
        <f>VLOOKUP($A20,Sheet1!$E:$I,4,0)</f>
        <v>Mr Walter Chan</v>
      </c>
      <c r="J20" t="str">
        <f>VLOOKUP($A20,Sheet1!$E:$I,5,0)</f>
        <v>FT</v>
      </c>
    </row>
    <row r="21" spans="1:10">
      <c r="A21" s="1" t="s">
        <v>6</v>
      </c>
      <c r="B21" s="1" t="s">
        <v>7</v>
      </c>
      <c r="C21" s="2" t="s">
        <v>206</v>
      </c>
      <c r="D21" s="2" t="s">
        <v>209</v>
      </c>
      <c r="E21" s="2" t="s">
        <v>216</v>
      </c>
      <c r="F21" s="2"/>
      <c r="G21">
        <f t="shared" si="0"/>
        <v>20</v>
      </c>
      <c r="H21">
        <f t="shared" si="1"/>
        <v>10</v>
      </c>
      <c r="I21" t="str">
        <f>VLOOKUP($A21,Sheet1!$E:$I,4,0)</f>
        <v>Mr Walter Chan</v>
      </c>
      <c r="J21" t="str">
        <f>VLOOKUP($A21,Sheet1!$E:$I,5,0)</f>
        <v>FT</v>
      </c>
    </row>
    <row r="22" spans="1:10">
      <c r="A22" s="1" t="s">
        <v>8</v>
      </c>
      <c r="B22" s="1" t="s">
        <v>9</v>
      </c>
      <c r="C22" s="2" t="s">
        <v>206</v>
      </c>
      <c r="D22" s="2" t="s">
        <v>209</v>
      </c>
      <c r="E22" s="2" t="s">
        <v>215</v>
      </c>
      <c r="F22" s="2"/>
      <c r="G22">
        <f t="shared" si="0"/>
        <v>20</v>
      </c>
      <c r="H22">
        <f t="shared" si="1"/>
        <v>10</v>
      </c>
      <c r="I22" t="str">
        <f>VLOOKUP($A22,Sheet1!$E:$I,4,0)</f>
        <v>Mr Richard Cheng</v>
      </c>
      <c r="J22" t="str">
        <f>VLOOKUP($A22,Sheet1!$E:$I,5,0)</f>
        <v>PT</v>
      </c>
    </row>
    <row r="23" spans="1:10">
      <c r="A23" s="1" t="s">
        <v>8</v>
      </c>
      <c r="B23" s="1" t="s">
        <v>9</v>
      </c>
      <c r="C23" s="2" t="s">
        <v>206</v>
      </c>
      <c r="D23" s="2" t="s">
        <v>209</v>
      </c>
      <c r="E23" s="2" t="s">
        <v>211</v>
      </c>
      <c r="F23" s="2"/>
      <c r="G23">
        <f t="shared" si="0"/>
        <v>20</v>
      </c>
      <c r="H23">
        <f t="shared" si="1"/>
        <v>10</v>
      </c>
      <c r="I23" t="str">
        <f>VLOOKUP($A23,Sheet1!$E:$I,4,0)</f>
        <v>Mr Richard Cheng</v>
      </c>
      <c r="J23" t="str">
        <f>VLOOKUP($A23,Sheet1!$E:$I,5,0)</f>
        <v>PT</v>
      </c>
    </row>
    <row r="24" spans="1:10">
      <c r="A24" s="1" t="s">
        <v>8</v>
      </c>
      <c r="B24" s="1" t="s">
        <v>9</v>
      </c>
      <c r="C24" s="2" t="s">
        <v>206</v>
      </c>
      <c r="D24" s="2" t="s">
        <v>209</v>
      </c>
      <c r="E24" s="2" t="s">
        <v>225</v>
      </c>
      <c r="F24" s="2"/>
      <c r="G24">
        <f t="shared" si="0"/>
        <v>20</v>
      </c>
      <c r="H24">
        <f t="shared" si="1"/>
        <v>10</v>
      </c>
      <c r="I24" t="str">
        <f>VLOOKUP($A24,Sheet1!$E:$I,4,0)</f>
        <v>Mr Richard Cheng</v>
      </c>
      <c r="J24" t="str">
        <f>VLOOKUP($A24,Sheet1!$E:$I,5,0)</f>
        <v>PT</v>
      </c>
    </row>
    <row r="25" spans="1:10">
      <c r="A25" s="1" t="s">
        <v>8</v>
      </c>
      <c r="B25" s="1" t="s">
        <v>9</v>
      </c>
      <c r="C25" s="2" t="s">
        <v>206</v>
      </c>
      <c r="D25" s="2" t="s">
        <v>209</v>
      </c>
      <c r="E25" s="2" t="s">
        <v>212</v>
      </c>
      <c r="F25" s="2"/>
      <c r="G25">
        <f t="shared" si="0"/>
        <v>20</v>
      </c>
      <c r="H25">
        <f t="shared" si="1"/>
        <v>10</v>
      </c>
      <c r="I25" t="str">
        <f>VLOOKUP($A25,Sheet1!$E:$I,4,0)</f>
        <v>Mr Richard Cheng</v>
      </c>
      <c r="J25" t="str">
        <f>VLOOKUP($A25,Sheet1!$E:$I,5,0)</f>
        <v>PT</v>
      </c>
    </row>
    <row r="26" spans="1:10">
      <c r="A26" s="1" t="s">
        <v>8</v>
      </c>
      <c r="B26" s="1" t="s">
        <v>9</v>
      </c>
      <c r="C26" s="2" t="s">
        <v>206</v>
      </c>
      <c r="D26" s="2" t="s">
        <v>209</v>
      </c>
      <c r="E26" s="2" t="s">
        <v>216</v>
      </c>
      <c r="F26" s="2"/>
      <c r="G26">
        <f t="shared" si="0"/>
        <v>20</v>
      </c>
      <c r="H26">
        <f t="shared" si="1"/>
        <v>10</v>
      </c>
      <c r="I26" t="str">
        <f>VLOOKUP($A26,Sheet1!$E:$I,4,0)</f>
        <v>Mr Richard Cheng</v>
      </c>
      <c r="J26" t="str">
        <f>VLOOKUP($A26,Sheet1!$E:$I,5,0)</f>
        <v>PT</v>
      </c>
    </row>
    <row r="27" spans="1:10">
      <c r="A27" s="1" t="s">
        <v>10</v>
      </c>
      <c r="B27" s="1" t="s">
        <v>11</v>
      </c>
      <c r="C27" s="2" t="s">
        <v>205</v>
      </c>
      <c r="D27" s="2" t="s">
        <v>208</v>
      </c>
      <c r="E27" s="2" t="s">
        <v>211</v>
      </c>
      <c r="F27" s="2"/>
      <c r="G27">
        <f t="shared" si="0"/>
        <v>20</v>
      </c>
      <c r="H27">
        <f t="shared" si="1"/>
        <v>10</v>
      </c>
      <c r="I27" t="str">
        <f>VLOOKUP($A27,Sheet1!$E:$I,4,0)</f>
        <v>Mr. Mike Wong</v>
      </c>
      <c r="J27" t="str">
        <f>VLOOKUP($A27,Sheet1!$E:$I,5,0)</f>
        <v>FT</v>
      </c>
    </row>
    <row r="28" spans="1:10">
      <c r="A28" s="1" t="s">
        <v>12</v>
      </c>
      <c r="B28" s="1" t="s">
        <v>13</v>
      </c>
      <c r="C28" s="2" t="s">
        <v>205</v>
      </c>
      <c r="D28" s="2" t="s">
        <v>208</v>
      </c>
      <c r="E28" s="2" t="s">
        <v>211</v>
      </c>
      <c r="F28" s="2"/>
      <c r="G28">
        <f t="shared" si="0"/>
        <v>20</v>
      </c>
      <c r="H28">
        <f t="shared" si="1"/>
        <v>10</v>
      </c>
      <c r="I28" t="str">
        <f>VLOOKUP($A28,Sheet1!$E:$I,4,0)</f>
        <v>Ms. Jo Hugn</v>
      </c>
      <c r="J28" t="str">
        <f>VLOOKUP($A28,Sheet1!$E:$I,5,0)</f>
        <v>FT</v>
      </c>
    </row>
    <row r="29" spans="1:10">
      <c r="A29" s="1" t="s">
        <v>14</v>
      </c>
      <c r="B29" s="1" t="s">
        <v>15</v>
      </c>
      <c r="C29" s="2" t="s">
        <v>205</v>
      </c>
      <c r="D29" s="2" t="s">
        <v>208</v>
      </c>
      <c r="E29" s="2" t="s">
        <v>211</v>
      </c>
      <c r="F29" s="2"/>
      <c r="G29">
        <f t="shared" si="0"/>
        <v>20</v>
      </c>
      <c r="H29">
        <f t="shared" si="1"/>
        <v>10</v>
      </c>
      <c r="I29" t="str">
        <f>VLOOKUP($A29,Sheet1!$E:$I,4,0)</f>
        <v>Dr Kenneth So</v>
      </c>
      <c r="J29" t="str">
        <f>VLOOKUP($A29,Sheet1!$E:$I,5,0)</f>
        <v>FT</v>
      </c>
    </row>
    <row r="30" spans="1:10">
      <c r="A30" s="1" t="s">
        <v>16</v>
      </c>
      <c r="B30" s="1" t="s">
        <v>17</v>
      </c>
      <c r="C30" s="2" t="s">
        <v>205</v>
      </c>
      <c r="D30" s="2" t="s">
        <v>208</v>
      </c>
      <c r="E30" s="2" t="s">
        <v>212</v>
      </c>
      <c r="F30" s="4"/>
      <c r="G30">
        <f t="shared" si="0"/>
        <v>20</v>
      </c>
      <c r="H30">
        <f t="shared" si="1"/>
        <v>10</v>
      </c>
      <c r="I30" t="str">
        <f>VLOOKUP($A30,Sheet1!$E:$I,4,0)</f>
        <v>Dr Kenneth So</v>
      </c>
      <c r="J30" t="str">
        <f>VLOOKUP($A30,Sheet1!$E:$I,5,0)</f>
        <v>FT</v>
      </c>
    </row>
    <row r="31" spans="1:10">
      <c r="A31" s="1" t="s">
        <v>18</v>
      </c>
      <c r="B31" s="1" t="s">
        <v>19</v>
      </c>
      <c r="C31" s="2" t="s">
        <v>205</v>
      </c>
      <c r="D31" s="2" t="s">
        <v>208</v>
      </c>
      <c r="E31" s="2" t="s">
        <v>212</v>
      </c>
      <c r="F31" s="4"/>
      <c r="G31">
        <f t="shared" si="0"/>
        <v>20</v>
      </c>
      <c r="H31">
        <f t="shared" si="1"/>
        <v>10</v>
      </c>
      <c r="I31" t="str">
        <f>VLOOKUP($A31,Sheet1!$E:$I,4,0)</f>
        <v>Dr Kenneth So</v>
      </c>
      <c r="J31" t="str">
        <f>VLOOKUP($A31,Sheet1!$E:$I,5,0)</f>
        <v>FT</v>
      </c>
    </row>
    <row r="32" spans="1:10">
      <c r="A32" s="1" t="s">
        <v>20</v>
      </c>
      <c r="B32" s="1" t="s">
        <v>21</v>
      </c>
      <c r="C32" s="2" t="s">
        <v>205</v>
      </c>
      <c r="D32" s="2" t="s">
        <v>209</v>
      </c>
      <c r="E32" s="2" t="s">
        <v>211</v>
      </c>
      <c r="F32" s="2" t="s">
        <v>213</v>
      </c>
      <c r="G32">
        <f t="shared" si="0"/>
        <v>20</v>
      </c>
      <c r="H32">
        <f t="shared" si="1"/>
        <v>10</v>
      </c>
      <c r="I32" t="str">
        <f>VLOOKUP($A32,Sheet1!$E:$I,4,0)</f>
        <v>Mr. Yuman Chau</v>
      </c>
      <c r="J32" t="str">
        <f>VLOOKUP($A32,Sheet1!$E:$I,5,0)</f>
        <v>PT</v>
      </c>
    </row>
    <row r="33" spans="1:10">
      <c r="A33" s="1" t="s">
        <v>22</v>
      </c>
      <c r="B33" s="1" t="s">
        <v>23</v>
      </c>
      <c r="C33" s="2" t="s">
        <v>205</v>
      </c>
      <c r="D33" s="2" t="s">
        <v>209</v>
      </c>
      <c r="E33" s="2" t="s">
        <v>211</v>
      </c>
      <c r="F33" s="2" t="s">
        <v>214</v>
      </c>
      <c r="G33">
        <f t="shared" si="0"/>
        <v>20</v>
      </c>
      <c r="H33">
        <f t="shared" si="1"/>
        <v>10</v>
      </c>
      <c r="I33" t="str">
        <f>VLOOKUP($A33,Sheet1!$E:$I,4,0)</f>
        <v>Mr. Yuman Chau</v>
      </c>
      <c r="J33" t="str">
        <f>VLOOKUP($A33,Sheet1!$E:$I,5,0)</f>
        <v>PT</v>
      </c>
    </row>
    <row r="34" spans="1:10">
      <c r="A34" s="1" t="s">
        <v>24</v>
      </c>
      <c r="B34" s="1" t="s">
        <v>25</v>
      </c>
      <c r="C34" s="2" t="s">
        <v>205</v>
      </c>
      <c r="D34" s="2" t="s">
        <v>209</v>
      </c>
      <c r="E34" s="2" t="s">
        <v>211</v>
      </c>
      <c r="F34" s="4" t="s">
        <v>43</v>
      </c>
      <c r="G34">
        <f t="shared" si="0"/>
        <v>20</v>
      </c>
      <c r="H34">
        <f t="shared" si="1"/>
        <v>10</v>
      </c>
      <c r="I34" t="str">
        <f>VLOOKUP($A34,Sheet1!$E:$I,4,0)</f>
        <v>Mr. Gary Chan</v>
      </c>
      <c r="J34">
        <f>VLOOKUP($A34,Sheet1!$E:$I,5,0)</f>
        <v>0</v>
      </c>
    </row>
    <row r="35" spans="1:10">
      <c r="A35" s="1" t="s">
        <v>26</v>
      </c>
      <c r="B35" s="1" t="s">
        <v>27</v>
      </c>
      <c r="C35" s="2" t="s">
        <v>205</v>
      </c>
      <c r="D35" s="2" t="s">
        <v>209</v>
      </c>
      <c r="E35" s="2" t="s">
        <v>211</v>
      </c>
      <c r="F35" s="2"/>
      <c r="G35">
        <f t="shared" si="0"/>
        <v>20</v>
      </c>
      <c r="H35">
        <f t="shared" si="1"/>
        <v>10</v>
      </c>
      <c r="I35" t="str">
        <f>VLOOKUP($A35,Sheet1!$E:$I,4,0)</f>
        <v>Mr. Mike Wong</v>
      </c>
      <c r="J35" t="str">
        <f>VLOOKUP($A35,Sheet1!$E:$I,5,0)</f>
        <v>FT</v>
      </c>
    </row>
    <row r="36" spans="1:10">
      <c r="A36" s="1" t="s">
        <v>28</v>
      </c>
      <c r="B36" s="1" t="s">
        <v>29</v>
      </c>
      <c r="C36" s="2" t="s">
        <v>205</v>
      </c>
      <c r="D36" s="2" t="s">
        <v>209</v>
      </c>
      <c r="E36" s="2" t="s">
        <v>211</v>
      </c>
      <c r="F36" s="2"/>
      <c r="G36">
        <f t="shared" si="0"/>
        <v>20</v>
      </c>
      <c r="H36">
        <f t="shared" si="1"/>
        <v>10</v>
      </c>
      <c r="I36" t="str">
        <f>VLOOKUP($A36,Sheet1!$E:$I,4,0)</f>
        <v>Mr. Mike Wong</v>
      </c>
      <c r="J36" t="str">
        <f>VLOOKUP($A36,Sheet1!$E:$I,5,0)</f>
        <v>FT</v>
      </c>
    </row>
    <row r="37" spans="1:10">
      <c r="A37" s="1" t="s">
        <v>30</v>
      </c>
      <c r="B37" s="1" t="s">
        <v>31</v>
      </c>
      <c r="C37" s="2" t="s">
        <v>205</v>
      </c>
      <c r="D37" s="2" t="s">
        <v>209</v>
      </c>
      <c r="E37" s="2" t="s">
        <v>212</v>
      </c>
      <c r="F37" s="4"/>
      <c r="G37">
        <f t="shared" si="0"/>
        <v>20</v>
      </c>
      <c r="H37">
        <f t="shared" si="1"/>
        <v>10</v>
      </c>
      <c r="I37" t="str">
        <f>VLOOKUP($A37,Sheet1!$E:$I,4,0)</f>
        <v>Dr Kenneth So</v>
      </c>
      <c r="J37" t="str">
        <f>VLOOKUP($A37,Sheet1!$E:$I,5,0)</f>
        <v>FT</v>
      </c>
    </row>
    <row r="38" spans="1:10">
      <c r="A38" s="1" t="s">
        <v>32</v>
      </c>
      <c r="B38" s="1" t="s">
        <v>33</v>
      </c>
      <c r="C38" s="2" t="s">
        <v>206</v>
      </c>
      <c r="D38" s="2" t="s">
        <v>209</v>
      </c>
      <c r="E38" s="2" t="s">
        <v>212</v>
      </c>
      <c r="F38" s="4"/>
      <c r="G38">
        <f t="shared" si="0"/>
        <v>20</v>
      </c>
      <c r="H38">
        <f t="shared" si="1"/>
        <v>10</v>
      </c>
      <c r="I38" t="str">
        <f>VLOOKUP($A38,Sheet1!$E:$I,4,0)</f>
        <v>Dr Kenneth So</v>
      </c>
      <c r="J38" t="str">
        <f>VLOOKUP($A38,Sheet1!$E:$I,5,0)</f>
        <v>FT</v>
      </c>
    </row>
    <row r="39" spans="1:10">
      <c r="A39" s="1" t="s">
        <v>34</v>
      </c>
      <c r="B39" s="1" t="s">
        <v>35</v>
      </c>
      <c r="C39" s="2" t="s">
        <v>206</v>
      </c>
      <c r="D39" s="2" t="s">
        <v>210</v>
      </c>
      <c r="E39" s="2" t="s">
        <v>212</v>
      </c>
      <c r="F39" s="4"/>
      <c r="G39">
        <f t="shared" si="0"/>
        <v>20</v>
      </c>
      <c r="H39">
        <f t="shared" si="1"/>
        <v>10</v>
      </c>
      <c r="I39" t="str">
        <f>VLOOKUP($A39,Sheet1!$E:$I,4,0)</f>
        <v>TBC</v>
      </c>
      <c r="J39" t="str">
        <f>VLOOKUP($A39,Sheet1!$E:$I,5,0)</f>
        <v>PT</v>
      </c>
    </row>
    <row r="40" spans="1:10">
      <c r="A40" s="1" t="s">
        <v>36</v>
      </c>
      <c r="B40" s="1" t="s">
        <v>37</v>
      </c>
      <c r="C40" s="2" t="s">
        <v>206</v>
      </c>
      <c r="D40" s="2" t="s">
        <v>208</v>
      </c>
      <c r="E40" s="2" t="s">
        <v>211</v>
      </c>
      <c r="F40" s="2"/>
      <c r="G40">
        <f t="shared" si="0"/>
        <v>20</v>
      </c>
      <c r="H40">
        <f t="shared" si="1"/>
        <v>10</v>
      </c>
      <c r="I40" t="str">
        <f>VLOOKUP($A40,Sheet1!$E:$I,4,0)</f>
        <v>Mr. Mike Wong</v>
      </c>
      <c r="J40" t="str">
        <f>VLOOKUP($A40,Sheet1!$E:$I,5,0)</f>
        <v>FT</v>
      </c>
    </row>
    <row r="41" spans="1:10">
      <c r="A41" s="1" t="s">
        <v>38</v>
      </c>
      <c r="B41" s="1" t="s">
        <v>39</v>
      </c>
      <c r="C41" s="2" t="s">
        <v>206</v>
      </c>
      <c r="D41" s="2" t="s">
        <v>208</v>
      </c>
      <c r="E41" s="2" t="s">
        <v>211</v>
      </c>
      <c r="F41" s="2" t="s">
        <v>213</v>
      </c>
      <c r="G41">
        <f t="shared" si="0"/>
        <v>20</v>
      </c>
      <c r="H41">
        <f t="shared" si="1"/>
        <v>10</v>
      </c>
      <c r="I41" t="str">
        <f>VLOOKUP($A41,Sheet1!$E:$I,4,0)</f>
        <v>Mr. Ben Wong</v>
      </c>
      <c r="J41" t="str">
        <f>VLOOKUP($A41,Sheet1!$E:$I,5,0)</f>
        <v>PT</v>
      </c>
    </row>
    <row r="42" spans="1:10">
      <c r="A42" s="1" t="s">
        <v>40</v>
      </c>
      <c r="B42" s="1" t="s">
        <v>41</v>
      </c>
      <c r="C42" s="2" t="s">
        <v>206</v>
      </c>
      <c r="D42" s="2" t="s">
        <v>208</v>
      </c>
      <c r="E42" s="2" t="s">
        <v>211</v>
      </c>
      <c r="F42" s="2" t="s">
        <v>214</v>
      </c>
      <c r="G42">
        <f t="shared" si="0"/>
        <v>20</v>
      </c>
      <c r="H42">
        <f t="shared" si="1"/>
        <v>10</v>
      </c>
      <c r="I42" t="str">
        <f>VLOOKUP($A42,Sheet1!$E:$I,4,0)</f>
        <v>TBC</v>
      </c>
      <c r="J42" t="str">
        <f>VLOOKUP($A42,Sheet1!$E:$I,5,0)</f>
        <v>PT</v>
      </c>
    </row>
    <row r="43" spans="1:10">
      <c r="A43" s="1" t="s">
        <v>42</v>
      </c>
      <c r="B43" s="1" t="s">
        <v>43</v>
      </c>
      <c r="C43" s="2" t="s">
        <v>206</v>
      </c>
      <c r="D43" s="2" t="s">
        <v>208</v>
      </c>
      <c r="E43" s="2" t="s">
        <v>211</v>
      </c>
      <c r="F43" s="4" t="s">
        <v>213</v>
      </c>
      <c r="G43">
        <f t="shared" si="0"/>
        <v>20</v>
      </c>
      <c r="H43">
        <f t="shared" si="1"/>
        <v>10</v>
      </c>
      <c r="I43" t="str">
        <f>VLOOKUP($A43,Sheet1!$E:$I,4,0)</f>
        <v>Dr HK Ng</v>
      </c>
      <c r="J43" t="str">
        <f>VLOOKUP($A43,Sheet1!$E:$I,5,0)</f>
        <v>FT</v>
      </c>
    </row>
    <row r="44" spans="1:10">
      <c r="A44" s="1" t="s">
        <v>42</v>
      </c>
      <c r="B44" s="1" t="s">
        <v>43</v>
      </c>
      <c r="C44" s="2" t="s">
        <v>206</v>
      </c>
      <c r="D44" s="2" t="s">
        <v>208</v>
      </c>
      <c r="E44" s="2" t="s">
        <v>211</v>
      </c>
      <c r="F44" s="4" t="s">
        <v>214</v>
      </c>
      <c r="G44">
        <f t="shared" si="0"/>
        <v>20</v>
      </c>
      <c r="H44">
        <f t="shared" si="1"/>
        <v>10</v>
      </c>
      <c r="I44" t="str">
        <f>VLOOKUP($A44,Sheet1!$E:$I,4,0)</f>
        <v>Dr HK Ng</v>
      </c>
      <c r="J44" t="str">
        <f>VLOOKUP($A44,Sheet1!$E:$I,5,0)</f>
        <v>FT</v>
      </c>
    </row>
    <row r="45" spans="1:10">
      <c r="A45" s="1" t="s">
        <v>44</v>
      </c>
      <c r="B45" s="1" t="s">
        <v>45</v>
      </c>
      <c r="C45" s="2" t="s">
        <v>206</v>
      </c>
      <c r="D45" s="2" t="s">
        <v>208</v>
      </c>
      <c r="E45" s="2" t="s">
        <v>211</v>
      </c>
      <c r="F45" s="4" t="s">
        <v>43</v>
      </c>
      <c r="G45">
        <f t="shared" si="0"/>
        <v>20</v>
      </c>
      <c r="H45">
        <f t="shared" si="1"/>
        <v>10</v>
      </c>
      <c r="I45" t="str">
        <f>VLOOKUP($A45,Sheet1!$E:$I,4,0)</f>
        <v>TBC</v>
      </c>
      <c r="J45" t="str">
        <f>VLOOKUP($A45,Sheet1!$E:$I,5,0)</f>
        <v>PT</v>
      </c>
    </row>
    <row r="46" spans="1:10">
      <c r="A46" s="1" t="s">
        <v>46</v>
      </c>
      <c r="B46" s="1" t="s">
        <v>47</v>
      </c>
      <c r="C46" s="2" t="s">
        <v>206</v>
      </c>
      <c r="D46" s="2" t="s">
        <v>208</v>
      </c>
      <c r="E46" s="2" t="s">
        <v>211</v>
      </c>
      <c r="F46" s="4" t="s">
        <v>43</v>
      </c>
      <c r="G46">
        <f t="shared" si="0"/>
        <v>20</v>
      </c>
      <c r="H46">
        <f t="shared" si="1"/>
        <v>10</v>
      </c>
      <c r="I46" t="str">
        <f>VLOOKUP($A46,Sheet1!$E:$I,4,0)</f>
        <v>Dr Jonathan Lee</v>
      </c>
      <c r="J46" t="str">
        <f>VLOOKUP($A46,Sheet1!$E:$I,5,0)</f>
        <v>PT</v>
      </c>
    </row>
    <row r="47" spans="1:10">
      <c r="A47" s="1" t="s">
        <v>229</v>
      </c>
      <c r="B47" s="1" t="s">
        <v>43</v>
      </c>
      <c r="C47" s="2" t="s">
        <v>205</v>
      </c>
      <c r="D47" s="2" t="s">
        <v>208</v>
      </c>
      <c r="E47" s="2" t="s">
        <v>212</v>
      </c>
      <c r="F47" s="4"/>
      <c r="G47">
        <f t="shared" si="0"/>
        <v>20</v>
      </c>
      <c r="H47">
        <f t="shared" si="1"/>
        <v>10</v>
      </c>
      <c r="I47" t="str">
        <f>VLOOKUP($A47,Sheet1!$E:$I,4,0)</f>
        <v>Dr HK Ng</v>
      </c>
      <c r="J47" t="str">
        <f>VLOOKUP($A47,Sheet1!$E:$I,5,0)</f>
        <v>FT</v>
      </c>
    </row>
    <row r="48" spans="1:10">
      <c r="A48" s="1" t="s">
        <v>48</v>
      </c>
      <c r="B48" s="1" t="s">
        <v>49</v>
      </c>
      <c r="C48" s="2" t="s">
        <v>206</v>
      </c>
      <c r="D48" s="2" t="s">
        <v>208</v>
      </c>
      <c r="E48" s="2" t="s">
        <v>212</v>
      </c>
      <c r="F48" s="4"/>
      <c r="G48">
        <f t="shared" si="0"/>
        <v>20</v>
      </c>
      <c r="H48">
        <f t="shared" si="1"/>
        <v>10</v>
      </c>
      <c r="I48" t="str">
        <f>VLOOKUP($A48,Sheet1!$E:$I,4,0)</f>
        <v>TBC</v>
      </c>
      <c r="J48" t="str">
        <f>VLOOKUP($A48,Sheet1!$E:$I,5,0)</f>
        <v>PT</v>
      </c>
    </row>
    <row r="49" spans="1:10">
      <c r="A49" s="1" t="s">
        <v>50</v>
      </c>
      <c r="B49" s="1" t="s">
        <v>51</v>
      </c>
      <c r="C49" s="2" t="s">
        <v>206</v>
      </c>
      <c r="D49" s="2" t="s">
        <v>208</v>
      </c>
      <c r="E49" s="2" t="s">
        <v>212</v>
      </c>
      <c r="F49" s="4"/>
      <c r="G49">
        <f t="shared" si="0"/>
        <v>20</v>
      </c>
      <c r="H49">
        <f t="shared" si="1"/>
        <v>10</v>
      </c>
      <c r="I49" t="str">
        <f>VLOOKUP($A49,Sheet1!$E:$I,4,0)</f>
        <v>TBC</v>
      </c>
      <c r="J49" t="str">
        <f>VLOOKUP($A49,Sheet1!$E:$I,5,0)</f>
        <v>PT</v>
      </c>
    </row>
    <row r="50" spans="1:10">
      <c r="A50" s="1" t="s">
        <v>52</v>
      </c>
      <c r="B50" s="1" t="s">
        <v>53</v>
      </c>
      <c r="C50" s="2" t="s">
        <v>206</v>
      </c>
      <c r="D50" s="2" t="s">
        <v>209</v>
      </c>
      <c r="E50" s="2" t="s">
        <v>211</v>
      </c>
      <c r="F50" s="2" t="s">
        <v>213</v>
      </c>
      <c r="G50">
        <f t="shared" si="0"/>
        <v>20</v>
      </c>
      <c r="H50">
        <f t="shared" si="1"/>
        <v>10</v>
      </c>
      <c r="I50" t="str">
        <f>VLOOKUP($A50,Sheet1!$E:$I,4,0)</f>
        <v>Mr. Eric Moy</v>
      </c>
      <c r="J50" t="str">
        <f>VLOOKUP($A50,Sheet1!$E:$I,5,0)</f>
        <v>PT</v>
      </c>
    </row>
    <row r="51" spans="1:10">
      <c r="A51" s="1" t="s">
        <v>54</v>
      </c>
      <c r="B51" s="1" t="s">
        <v>55</v>
      </c>
      <c r="C51" s="2" t="s">
        <v>206</v>
      </c>
      <c r="D51" s="2" t="s">
        <v>209</v>
      </c>
      <c r="E51" s="2" t="s">
        <v>211</v>
      </c>
      <c r="F51" s="2" t="s">
        <v>213</v>
      </c>
      <c r="G51">
        <f t="shared" si="0"/>
        <v>20</v>
      </c>
      <c r="H51">
        <f t="shared" si="1"/>
        <v>10</v>
      </c>
      <c r="I51" t="str">
        <f>VLOOKUP($A51,Sheet1!$E:$I,4,0)</f>
        <v>Mr. Eric Moy</v>
      </c>
      <c r="J51" t="str">
        <f>VLOOKUP($A51,Sheet1!$E:$I,5,0)</f>
        <v>PT</v>
      </c>
    </row>
    <row r="52" spans="1:10">
      <c r="A52" s="1" t="s">
        <v>56</v>
      </c>
      <c r="B52" s="1" t="s">
        <v>57</v>
      </c>
      <c r="C52" s="2" t="s">
        <v>206</v>
      </c>
      <c r="D52" s="2" t="s">
        <v>209</v>
      </c>
      <c r="E52" s="4" t="s">
        <v>211</v>
      </c>
      <c r="F52" s="2" t="s">
        <v>214</v>
      </c>
      <c r="G52">
        <f t="shared" si="0"/>
        <v>20</v>
      </c>
      <c r="H52">
        <f t="shared" si="1"/>
        <v>10</v>
      </c>
      <c r="I52" t="str">
        <f>VLOOKUP($A52,Sheet1!$E:$I,4,0)</f>
        <v>Dr HK Ng</v>
      </c>
      <c r="J52" t="str">
        <f>VLOOKUP($A52,Sheet1!$E:$I,5,0)</f>
        <v>PT</v>
      </c>
    </row>
    <row r="53" spans="1:10">
      <c r="A53" s="1" t="s">
        <v>58</v>
      </c>
      <c r="B53" s="1" t="s">
        <v>59</v>
      </c>
      <c r="C53" s="2" t="s">
        <v>206</v>
      </c>
      <c r="D53" s="2" t="s">
        <v>209</v>
      </c>
      <c r="E53" s="4" t="s">
        <v>211</v>
      </c>
      <c r="F53" s="2" t="s">
        <v>214</v>
      </c>
      <c r="G53">
        <f t="shared" si="0"/>
        <v>20</v>
      </c>
      <c r="H53">
        <f t="shared" si="1"/>
        <v>10</v>
      </c>
      <c r="I53" t="str">
        <f>VLOOKUP($A53,Sheet1!$E:$I,4,0)</f>
        <v>TBC</v>
      </c>
      <c r="J53" t="str">
        <f>VLOOKUP($A53,Sheet1!$E:$I,5,0)</f>
        <v>PT</v>
      </c>
    </row>
    <row r="54" spans="1:10">
      <c r="A54" s="1" t="s">
        <v>60</v>
      </c>
      <c r="B54" s="1" t="s">
        <v>61</v>
      </c>
      <c r="C54" s="2" t="s">
        <v>206</v>
      </c>
      <c r="D54" s="2" t="s">
        <v>209</v>
      </c>
      <c r="E54" s="2" t="s">
        <v>211</v>
      </c>
      <c r="F54" s="4" t="s">
        <v>43</v>
      </c>
      <c r="G54">
        <f t="shared" si="0"/>
        <v>20</v>
      </c>
      <c r="H54">
        <f t="shared" si="1"/>
        <v>10</v>
      </c>
      <c r="I54" t="str">
        <f>VLOOKUP($A54,Sheet1!$E:$I,4,0)</f>
        <v>Mr. Ben Wong</v>
      </c>
      <c r="J54" t="str">
        <f>VLOOKUP($A54,Sheet1!$E:$I,5,0)</f>
        <v>PT</v>
      </c>
    </row>
    <row r="55" spans="1:10">
      <c r="A55" s="1" t="s">
        <v>62</v>
      </c>
      <c r="B55" s="1" t="s">
        <v>63</v>
      </c>
      <c r="C55" s="2" t="s">
        <v>206</v>
      </c>
      <c r="D55" s="2" t="s">
        <v>209</v>
      </c>
      <c r="E55" s="2" t="s">
        <v>211</v>
      </c>
      <c r="F55" s="4" t="s">
        <v>43</v>
      </c>
      <c r="G55">
        <f t="shared" si="0"/>
        <v>20</v>
      </c>
      <c r="H55">
        <f t="shared" si="1"/>
        <v>10</v>
      </c>
      <c r="I55" t="str">
        <f>VLOOKUP($A55,Sheet1!$E:$I,4,0)</f>
        <v>Dr HK Ng</v>
      </c>
      <c r="J55" t="str">
        <f>VLOOKUP($A55,Sheet1!$E:$I,5,0)</f>
        <v>FT</v>
      </c>
    </row>
    <row r="56" spans="1:10">
      <c r="A56" s="1" t="s">
        <v>64</v>
      </c>
      <c r="B56" s="1" t="s">
        <v>65</v>
      </c>
      <c r="C56" s="2" t="s">
        <v>205</v>
      </c>
      <c r="D56" s="2" t="s">
        <v>209</v>
      </c>
      <c r="E56" s="2" t="s">
        <v>212</v>
      </c>
      <c r="F56" s="4"/>
      <c r="G56">
        <f t="shared" si="0"/>
        <v>20</v>
      </c>
      <c r="H56">
        <f t="shared" si="1"/>
        <v>10</v>
      </c>
      <c r="I56" t="str">
        <f>VLOOKUP($A56,Sheet1!$E:$I,4,0)</f>
        <v>TBC</v>
      </c>
      <c r="J56" t="str">
        <f>VLOOKUP($A56,Sheet1!$E:$I,5,0)</f>
        <v>PT</v>
      </c>
    </row>
    <row r="57" spans="1:10">
      <c r="A57" s="1" t="s">
        <v>228</v>
      </c>
      <c r="B57" s="1" t="s">
        <v>27</v>
      </c>
      <c r="C57" s="2" t="s">
        <v>205</v>
      </c>
      <c r="D57" s="2" t="s">
        <v>209</v>
      </c>
      <c r="E57" s="2" t="s">
        <v>212</v>
      </c>
      <c r="F57" s="4"/>
      <c r="G57">
        <f t="shared" si="0"/>
        <v>20</v>
      </c>
      <c r="H57">
        <f t="shared" si="1"/>
        <v>10</v>
      </c>
      <c r="I57" t="str">
        <f>VLOOKUP($A57,Sheet1!$E:$I,4,0)</f>
        <v>Mr. Mike Wong</v>
      </c>
      <c r="J57" t="str">
        <f>VLOOKUP($A57,Sheet1!$E:$I,5,0)</f>
        <v>FT</v>
      </c>
    </row>
    <row r="58" spans="1:10">
      <c r="A58" s="1" t="s">
        <v>66</v>
      </c>
      <c r="B58" s="1" t="s">
        <v>67</v>
      </c>
      <c r="C58" s="2" t="s">
        <v>206</v>
      </c>
      <c r="D58" s="2" t="s">
        <v>209</v>
      </c>
      <c r="E58" s="2" t="s">
        <v>212</v>
      </c>
      <c r="F58" s="4"/>
      <c r="G58">
        <f t="shared" si="0"/>
        <v>20</v>
      </c>
      <c r="H58">
        <f t="shared" si="1"/>
        <v>10</v>
      </c>
      <c r="I58" t="str">
        <f>VLOOKUP($A58,Sheet1!$E:$I,4,0)</f>
        <v>TBC</v>
      </c>
      <c r="J58" t="str">
        <f>VLOOKUP($A58,Sheet1!$E:$I,5,0)</f>
        <v>PT</v>
      </c>
    </row>
    <row r="59" spans="1:10">
      <c r="A59" s="1" t="s">
        <v>68</v>
      </c>
      <c r="B59" s="1" t="s">
        <v>69</v>
      </c>
      <c r="C59" s="2" t="s">
        <v>205</v>
      </c>
      <c r="D59" s="2" t="s">
        <v>210</v>
      </c>
      <c r="E59" s="2" t="s">
        <v>212</v>
      </c>
      <c r="F59" s="4"/>
      <c r="G59">
        <f t="shared" si="0"/>
        <v>20</v>
      </c>
      <c r="H59">
        <f t="shared" si="1"/>
        <v>10</v>
      </c>
      <c r="I59" t="str">
        <f>VLOOKUP($A59,Sheet1!$E:$I,4,0)</f>
        <v>TBC</v>
      </c>
      <c r="J59" t="str">
        <f>VLOOKUP($A59,Sheet1!$E:$I,5,0)</f>
        <v>PT</v>
      </c>
    </row>
    <row r="60" spans="1:10">
      <c r="A60" s="1" t="s">
        <v>70</v>
      </c>
      <c r="B60" s="1" t="s">
        <v>71</v>
      </c>
      <c r="C60" s="2" t="s">
        <v>206</v>
      </c>
      <c r="D60" s="2" t="s">
        <v>210</v>
      </c>
      <c r="E60" s="2" t="s">
        <v>212</v>
      </c>
      <c r="F60" s="4"/>
      <c r="G60">
        <f t="shared" si="0"/>
        <v>20</v>
      </c>
      <c r="H60">
        <f t="shared" si="1"/>
        <v>10</v>
      </c>
      <c r="I60" t="str">
        <f>VLOOKUP($A60,Sheet1!$E:$I,4,0)</f>
        <v>TBC</v>
      </c>
      <c r="J60" t="str">
        <f>VLOOKUP($A60,Sheet1!$E:$I,5,0)</f>
        <v>PT</v>
      </c>
    </row>
    <row r="61" spans="1:10">
      <c r="A61" s="1" t="s">
        <v>72</v>
      </c>
      <c r="B61" s="1" t="s">
        <v>73</v>
      </c>
      <c r="C61" s="4" t="s">
        <v>205</v>
      </c>
      <c r="D61" s="4" t="s">
        <v>208</v>
      </c>
      <c r="E61" s="4" t="s">
        <v>215</v>
      </c>
      <c r="F61" s="4"/>
      <c r="G61">
        <f t="shared" si="0"/>
        <v>20</v>
      </c>
      <c r="H61">
        <f t="shared" si="1"/>
        <v>10</v>
      </c>
      <c r="I61" t="str">
        <f>VLOOKUP($A61,Sheet1!$E:$I,4,0)</f>
        <v>Ms. Nicola Chow</v>
      </c>
      <c r="J61" t="str">
        <f>VLOOKUP($A61,Sheet1!$E:$I,5,0)</f>
        <v>FT</v>
      </c>
    </row>
    <row r="62" spans="1:10">
      <c r="A62" s="1" t="s">
        <v>74</v>
      </c>
      <c r="B62" s="1" t="s">
        <v>75</v>
      </c>
      <c r="C62" s="4" t="s">
        <v>205</v>
      </c>
      <c r="D62" s="4" t="s">
        <v>208</v>
      </c>
      <c r="E62" s="4" t="s">
        <v>215</v>
      </c>
      <c r="F62" s="4"/>
      <c r="G62">
        <f t="shared" si="0"/>
        <v>20</v>
      </c>
      <c r="H62">
        <f t="shared" si="1"/>
        <v>10</v>
      </c>
      <c r="I62" t="str">
        <f>VLOOKUP($A62,Sheet1!$E:$I,4,0)</f>
        <v>Mr. Anderson Chui</v>
      </c>
      <c r="J62" t="str">
        <f>VLOOKUP($A62,Sheet1!$E:$I,5,0)</f>
        <v>PT</v>
      </c>
    </row>
    <row r="63" spans="1:10">
      <c r="A63" s="1" t="s">
        <v>76</v>
      </c>
      <c r="B63" s="1" t="s">
        <v>77</v>
      </c>
      <c r="C63" s="4" t="s">
        <v>205</v>
      </c>
      <c r="D63" s="4" t="s">
        <v>208</v>
      </c>
      <c r="E63" s="4" t="s">
        <v>215</v>
      </c>
      <c r="F63" s="4"/>
      <c r="G63">
        <f t="shared" si="0"/>
        <v>20</v>
      </c>
      <c r="H63">
        <f t="shared" si="1"/>
        <v>10</v>
      </c>
      <c r="I63" t="str">
        <f>VLOOKUP($A63,Sheet1!$E:$I,4,0)</f>
        <v>Mr. Newman Lo</v>
      </c>
      <c r="J63" t="str">
        <f>VLOOKUP($A63,Sheet1!$E:$I,5,0)</f>
        <v>PT</v>
      </c>
    </row>
    <row r="64" spans="1:10">
      <c r="A64" s="1" t="s">
        <v>78</v>
      </c>
      <c r="B64" s="1" t="s">
        <v>79</v>
      </c>
      <c r="C64" s="4" t="s">
        <v>206</v>
      </c>
      <c r="D64" s="4" t="s">
        <v>208</v>
      </c>
      <c r="E64" s="4" t="s">
        <v>215</v>
      </c>
      <c r="F64" s="4"/>
      <c r="G64">
        <f t="shared" si="0"/>
        <v>20</v>
      </c>
      <c r="H64">
        <f t="shared" si="1"/>
        <v>10</v>
      </c>
      <c r="I64" t="str">
        <f>VLOOKUP($A64,Sheet1!$E:$I,4,0)</f>
        <v>TBC</v>
      </c>
      <c r="J64" t="str">
        <f>VLOOKUP($A64,Sheet1!$E:$I,5,0)</f>
        <v>PT</v>
      </c>
    </row>
    <row r="65" spans="1:10">
      <c r="A65" s="1" t="s">
        <v>80</v>
      </c>
      <c r="B65" s="1" t="s">
        <v>81</v>
      </c>
      <c r="C65" s="4" t="s">
        <v>206</v>
      </c>
      <c r="D65" s="4" t="s">
        <v>208</v>
      </c>
      <c r="E65" s="4" t="s">
        <v>215</v>
      </c>
      <c r="F65" s="4"/>
      <c r="G65">
        <f t="shared" si="0"/>
        <v>20</v>
      </c>
      <c r="H65">
        <f t="shared" si="1"/>
        <v>10</v>
      </c>
      <c r="I65" t="str">
        <f>VLOOKUP($A65,Sheet1!$E:$I,4,0)</f>
        <v>Dr Alphaeus Tam</v>
      </c>
      <c r="J65" t="str">
        <f>VLOOKUP($A65,Sheet1!$E:$I,5,0)</f>
        <v>FT</v>
      </c>
    </row>
    <row r="66" spans="1:10">
      <c r="A66" s="1" t="s">
        <v>82</v>
      </c>
      <c r="B66" s="1" t="s">
        <v>83</v>
      </c>
      <c r="C66" s="4" t="s">
        <v>206</v>
      </c>
      <c r="D66" s="4" t="s">
        <v>208</v>
      </c>
      <c r="E66" s="4" t="s">
        <v>215</v>
      </c>
      <c r="F66" s="2" t="s">
        <v>81</v>
      </c>
      <c r="G66">
        <f t="shared" si="0"/>
        <v>20</v>
      </c>
      <c r="H66">
        <f t="shared" si="1"/>
        <v>10</v>
      </c>
      <c r="I66" t="str">
        <f>VLOOKUP($A66,Sheet1!$E:$I,4,0)</f>
        <v>Mr. Newman Lo</v>
      </c>
      <c r="J66" t="str">
        <f>VLOOKUP($A66,Sheet1!$E:$I,5,0)</f>
        <v>PT</v>
      </c>
    </row>
    <row r="67" spans="1:10">
      <c r="A67" s="1" t="s">
        <v>84</v>
      </c>
      <c r="B67" s="1" t="s">
        <v>85</v>
      </c>
      <c r="C67" s="4" t="s">
        <v>205</v>
      </c>
      <c r="D67" s="4" t="s">
        <v>209</v>
      </c>
      <c r="E67" s="4" t="s">
        <v>215</v>
      </c>
      <c r="F67" s="4"/>
      <c r="G67">
        <f t="shared" si="0"/>
        <v>20</v>
      </c>
      <c r="H67">
        <f t="shared" si="1"/>
        <v>10</v>
      </c>
      <c r="I67" t="str">
        <f>VLOOKUP($A67,Sheet1!$E:$I,4,0)</f>
        <v>Dr Alphaeus Tam</v>
      </c>
      <c r="J67" t="str">
        <f>VLOOKUP($A67,Sheet1!$E:$I,5,0)</f>
        <v>FT</v>
      </c>
    </row>
    <row r="68" spans="1:10">
      <c r="A68" s="1" t="s">
        <v>86</v>
      </c>
      <c r="B68" s="1" t="s">
        <v>87</v>
      </c>
      <c r="C68" s="4" t="s">
        <v>205</v>
      </c>
      <c r="D68" s="4" t="s">
        <v>209</v>
      </c>
      <c r="E68" s="4" t="s">
        <v>215</v>
      </c>
      <c r="F68" s="4"/>
      <c r="G68">
        <f t="shared" ref="G68:H83" si="2">G67</f>
        <v>20</v>
      </c>
      <c r="H68">
        <f t="shared" si="2"/>
        <v>10</v>
      </c>
      <c r="I68" t="str">
        <f>VLOOKUP($A68,Sheet1!$E:$I,4,0)</f>
        <v>Dr Alphaeus Tam</v>
      </c>
      <c r="J68" t="str">
        <f>VLOOKUP($A68,Sheet1!$E:$I,5,0)</f>
        <v>FT</v>
      </c>
    </row>
    <row r="69" spans="1:10">
      <c r="A69" s="1" t="s">
        <v>88</v>
      </c>
      <c r="B69" s="1" t="s">
        <v>89</v>
      </c>
      <c r="C69" s="4" t="s">
        <v>205</v>
      </c>
      <c r="D69" s="4" t="s">
        <v>209</v>
      </c>
      <c r="E69" s="4" t="s">
        <v>215</v>
      </c>
      <c r="F69" s="2" t="s">
        <v>81</v>
      </c>
      <c r="G69">
        <f t="shared" si="2"/>
        <v>20</v>
      </c>
      <c r="H69">
        <f t="shared" si="2"/>
        <v>10</v>
      </c>
      <c r="I69" t="str">
        <f>VLOOKUP($A69,Sheet1!$E:$I,4,0)</f>
        <v>Mr. Anderson Chui</v>
      </c>
      <c r="J69" t="str">
        <f>VLOOKUP($A69,Sheet1!$E:$I,5,0)</f>
        <v>PT</v>
      </c>
    </row>
    <row r="70" spans="1:10">
      <c r="A70" s="1" t="s">
        <v>90</v>
      </c>
      <c r="B70" s="1" t="s">
        <v>91</v>
      </c>
      <c r="C70" s="4" t="s">
        <v>206</v>
      </c>
      <c r="D70" s="4" t="s">
        <v>209</v>
      </c>
      <c r="E70" s="4" t="s">
        <v>215</v>
      </c>
      <c r="F70" s="2" t="s">
        <v>81</v>
      </c>
      <c r="G70">
        <f t="shared" si="2"/>
        <v>20</v>
      </c>
      <c r="H70">
        <f t="shared" si="2"/>
        <v>10</v>
      </c>
      <c r="I70" t="str">
        <f>VLOOKUP($A70,Sheet1!$E:$I,4,0)</f>
        <v>Mr. Newman Lo</v>
      </c>
      <c r="J70" t="str">
        <f>VLOOKUP($A70,Sheet1!$E:$I,5,0)</f>
        <v>PT</v>
      </c>
    </row>
    <row r="71" spans="1:10">
      <c r="A71" s="1" t="s">
        <v>92</v>
      </c>
      <c r="B71" s="1" t="s">
        <v>93</v>
      </c>
      <c r="C71" s="4" t="s">
        <v>206</v>
      </c>
      <c r="D71" s="4" t="s">
        <v>209</v>
      </c>
      <c r="E71" s="4" t="s">
        <v>215</v>
      </c>
      <c r="F71" s="2" t="s">
        <v>81</v>
      </c>
      <c r="G71">
        <f t="shared" si="2"/>
        <v>20</v>
      </c>
      <c r="H71">
        <f t="shared" si="2"/>
        <v>10</v>
      </c>
      <c r="I71" t="str">
        <f>VLOOKUP($A71,Sheet1!$E:$I,4,0)</f>
        <v>Ms Nicola Chow</v>
      </c>
      <c r="J71" t="str">
        <f>VLOOKUP($A71,Sheet1!$E:$I,5,0)</f>
        <v>FT</v>
      </c>
    </row>
    <row r="72" spans="1:10">
      <c r="A72" s="1" t="s">
        <v>94</v>
      </c>
      <c r="B72" s="1" t="s">
        <v>95</v>
      </c>
      <c r="C72" s="4" t="s">
        <v>205</v>
      </c>
      <c r="D72" s="4" t="s">
        <v>208</v>
      </c>
      <c r="E72" s="4" t="s">
        <v>216</v>
      </c>
      <c r="F72" s="2"/>
      <c r="G72">
        <f t="shared" si="2"/>
        <v>20</v>
      </c>
      <c r="H72">
        <f t="shared" si="2"/>
        <v>10</v>
      </c>
      <c r="I72" t="str">
        <f>VLOOKUP($A72,Sheet1!$E:$I,4,0)</f>
        <v>Mr. Philip Chan</v>
      </c>
      <c r="J72" t="str">
        <f>VLOOKUP($A72,Sheet1!$E:$I,5,0)</f>
        <v>FT</v>
      </c>
    </row>
    <row r="73" spans="1:10">
      <c r="A73" s="1" t="s">
        <v>96</v>
      </c>
      <c r="B73" s="1" t="s">
        <v>97</v>
      </c>
      <c r="C73" s="4" t="s">
        <v>205</v>
      </c>
      <c r="D73" s="4" t="s">
        <v>208</v>
      </c>
      <c r="E73" s="4" t="s">
        <v>216</v>
      </c>
      <c r="F73" s="2"/>
      <c r="G73">
        <f t="shared" si="2"/>
        <v>20</v>
      </c>
      <c r="H73">
        <f t="shared" si="2"/>
        <v>10</v>
      </c>
      <c r="I73" t="str">
        <f>VLOOKUP($A73,Sheet1!$E:$I,4,0)</f>
        <v>TBC</v>
      </c>
      <c r="J73" t="str">
        <f>VLOOKUP($A73,Sheet1!$E:$I,5,0)</f>
        <v>PT</v>
      </c>
    </row>
    <row r="74" spans="1:10">
      <c r="A74" s="1" t="s">
        <v>98</v>
      </c>
      <c r="B74" s="1" t="s">
        <v>99</v>
      </c>
      <c r="C74" s="4" t="s">
        <v>205</v>
      </c>
      <c r="D74" s="4" t="s">
        <v>208</v>
      </c>
      <c r="E74" s="4" t="s">
        <v>216</v>
      </c>
      <c r="F74" s="2"/>
      <c r="G74">
        <f t="shared" si="2"/>
        <v>20</v>
      </c>
      <c r="H74">
        <f t="shared" si="2"/>
        <v>10</v>
      </c>
      <c r="I74" t="str">
        <f>VLOOKUP($A74,Sheet1!$E:$I,4,0)</f>
        <v>TBC</v>
      </c>
      <c r="J74" t="str">
        <f>VLOOKUP($A74,Sheet1!$E:$I,5,0)</f>
        <v>PT</v>
      </c>
    </row>
    <row r="75" spans="1:10">
      <c r="A75" s="1" t="s">
        <v>100</v>
      </c>
      <c r="B75" s="1" t="s">
        <v>101</v>
      </c>
      <c r="C75" s="4" t="s">
        <v>206</v>
      </c>
      <c r="D75" s="4" t="s">
        <v>208</v>
      </c>
      <c r="E75" s="4" t="s">
        <v>216</v>
      </c>
      <c r="F75" s="2"/>
      <c r="G75">
        <f t="shared" si="2"/>
        <v>20</v>
      </c>
      <c r="H75">
        <f t="shared" si="2"/>
        <v>10</v>
      </c>
      <c r="I75" t="str">
        <f>VLOOKUP($A75,Sheet1!$E:$I,4,0)</f>
        <v>TBC</v>
      </c>
      <c r="J75" t="str">
        <f>VLOOKUP($A75,Sheet1!$E:$I,5,0)</f>
        <v>PT</v>
      </c>
    </row>
    <row r="76" spans="1:10">
      <c r="A76" s="1" t="s">
        <v>102</v>
      </c>
      <c r="B76" s="1" t="s">
        <v>103</v>
      </c>
      <c r="C76" s="4" t="s">
        <v>206</v>
      </c>
      <c r="D76" s="4" t="s">
        <v>208</v>
      </c>
      <c r="E76" s="4" t="s">
        <v>216</v>
      </c>
      <c r="F76" s="2"/>
      <c r="G76">
        <f t="shared" si="2"/>
        <v>20</v>
      </c>
      <c r="H76">
        <f t="shared" si="2"/>
        <v>10</v>
      </c>
      <c r="I76" t="str">
        <f>VLOOKUP($A76,Sheet1!$E:$I,4,0)</f>
        <v>TBC</v>
      </c>
      <c r="J76" t="str">
        <f>VLOOKUP($A76,Sheet1!$E:$I,5,0)</f>
        <v>PT</v>
      </c>
    </row>
    <row r="77" spans="1:10">
      <c r="A77" s="1" t="s">
        <v>104</v>
      </c>
      <c r="B77" s="1" t="s">
        <v>105</v>
      </c>
      <c r="C77" s="4" t="s">
        <v>205</v>
      </c>
      <c r="D77" s="4" t="s">
        <v>209</v>
      </c>
      <c r="E77" s="4" t="s">
        <v>216</v>
      </c>
      <c r="F77" s="2"/>
      <c r="G77">
        <f t="shared" si="2"/>
        <v>20</v>
      </c>
      <c r="H77">
        <f t="shared" si="2"/>
        <v>10</v>
      </c>
      <c r="I77" t="str">
        <f>VLOOKUP($A77,Sheet1!$E:$I,4,0)</f>
        <v>TBC</v>
      </c>
      <c r="J77" t="str">
        <f>VLOOKUP($A77,Sheet1!$E:$I,5,0)</f>
        <v>PT</v>
      </c>
    </row>
    <row r="78" spans="1:10">
      <c r="A78" s="1" t="s">
        <v>106</v>
      </c>
      <c r="B78" s="1" t="s">
        <v>107</v>
      </c>
      <c r="C78" s="4" t="s">
        <v>205</v>
      </c>
      <c r="D78" s="4" t="s">
        <v>209</v>
      </c>
      <c r="E78" s="4" t="s">
        <v>216</v>
      </c>
      <c r="F78" s="2"/>
      <c r="G78">
        <f t="shared" si="2"/>
        <v>20</v>
      </c>
      <c r="H78">
        <f t="shared" si="2"/>
        <v>10</v>
      </c>
      <c r="I78" t="str">
        <f>VLOOKUP($A78,Sheet1!$E:$I,4,0)</f>
        <v>Mr. Philip Chan</v>
      </c>
      <c r="J78" t="str">
        <f>VLOOKUP($A78,Sheet1!$E:$I,5,0)</f>
        <v>FT</v>
      </c>
    </row>
    <row r="79" spans="1:10">
      <c r="A79" s="1" t="s">
        <v>108</v>
      </c>
      <c r="B79" s="1" t="s">
        <v>109</v>
      </c>
      <c r="C79" s="4" t="s">
        <v>205</v>
      </c>
      <c r="D79" s="4" t="s">
        <v>209</v>
      </c>
      <c r="E79" s="4" t="s">
        <v>216</v>
      </c>
      <c r="F79" s="2"/>
      <c r="G79">
        <f t="shared" si="2"/>
        <v>20</v>
      </c>
      <c r="H79">
        <f t="shared" si="2"/>
        <v>10</v>
      </c>
      <c r="I79" t="str">
        <f>VLOOKUP($A79,Sheet1!$E:$I,4,0)</f>
        <v>TBC</v>
      </c>
      <c r="J79" t="str">
        <f>VLOOKUP($A79,Sheet1!$E:$I,5,0)</f>
        <v>PT</v>
      </c>
    </row>
    <row r="80" spans="1:10">
      <c r="A80" s="1" t="s">
        <v>110</v>
      </c>
      <c r="B80" s="1" t="s">
        <v>111</v>
      </c>
      <c r="C80" s="4" t="s">
        <v>206</v>
      </c>
      <c r="D80" s="4" t="s">
        <v>209</v>
      </c>
      <c r="E80" s="4" t="s">
        <v>216</v>
      </c>
      <c r="F80" s="2"/>
      <c r="G80">
        <f t="shared" si="2"/>
        <v>20</v>
      </c>
      <c r="H80">
        <f t="shared" si="2"/>
        <v>10</v>
      </c>
      <c r="I80" t="str">
        <f>VLOOKUP($A80,Sheet1!$E:$I,4,0)</f>
        <v>TBC</v>
      </c>
      <c r="J80" t="str">
        <f>VLOOKUP($A80,Sheet1!$E:$I,5,0)</f>
        <v>PT</v>
      </c>
    </row>
    <row r="81" spans="1:10">
      <c r="A81" s="1" t="s">
        <v>112</v>
      </c>
      <c r="B81" s="1" t="s">
        <v>113</v>
      </c>
      <c r="C81" s="4" t="s">
        <v>206</v>
      </c>
      <c r="D81" s="4" t="s">
        <v>209</v>
      </c>
      <c r="E81" s="4" t="s">
        <v>216</v>
      </c>
      <c r="F81" s="2"/>
      <c r="G81">
        <f t="shared" si="2"/>
        <v>20</v>
      </c>
      <c r="H81">
        <f t="shared" si="2"/>
        <v>10</v>
      </c>
      <c r="I81" t="str">
        <f>VLOOKUP($A81,Sheet1!$E:$I,4,0)</f>
        <v>TBC</v>
      </c>
      <c r="J81" t="str">
        <f>VLOOKUP($A81,Sheet1!$E:$I,5,0)</f>
        <v>PT</v>
      </c>
    </row>
    <row r="82" spans="1:10">
      <c r="A82" s="1" t="s">
        <v>114</v>
      </c>
      <c r="B82" s="1" t="s">
        <v>115</v>
      </c>
      <c r="C82" s="4" t="s">
        <v>206</v>
      </c>
      <c r="D82" s="4" t="s">
        <v>208</v>
      </c>
      <c r="E82" s="4" t="s">
        <v>216</v>
      </c>
      <c r="F82" s="2"/>
      <c r="G82">
        <f t="shared" si="2"/>
        <v>20</v>
      </c>
      <c r="H82">
        <f t="shared" si="2"/>
        <v>10</v>
      </c>
      <c r="I82" t="str">
        <f>VLOOKUP($A82,Sheet1!$E:$I,4,0)</f>
        <v>TBC</v>
      </c>
      <c r="J82" t="str">
        <f>VLOOKUP($A82,Sheet1!$E:$I,5,0)</f>
        <v>PT</v>
      </c>
    </row>
    <row r="83" spans="1:10">
      <c r="A83" s="1" t="s">
        <v>116</v>
      </c>
      <c r="B83" s="1" t="s">
        <v>117</v>
      </c>
      <c r="C83" s="4" t="s">
        <v>206</v>
      </c>
      <c r="D83" s="4" t="s">
        <v>210</v>
      </c>
      <c r="E83" s="4" t="s">
        <v>216</v>
      </c>
      <c r="F83" s="4"/>
      <c r="G83">
        <f t="shared" si="2"/>
        <v>20</v>
      </c>
      <c r="H83">
        <f t="shared" si="2"/>
        <v>10</v>
      </c>
      <c r="I83" t="str">
        <f>VLOOKUP($A83,Sheet1!$E:$I,4,0)</f>
        <v>TBC</v>
      </c>
      <c r="J83" t="str">
        <f>VLOOKUP($A83,Sheet1!$E:$I,5,0)</f>
        <v>PT</v>
      </c>
    </row>
    <row r="84" spans="1:10">
      <c r="A84" s="1" t="s">
        <v>238</v>
      </c>
      <c r="B84" s="1" t="s">
        <v>179</v>
      </c>
      <c r="C84" s="2" t="s">
        <v>205</v>
      </c>
      <c r="D84" s="2" t="s">
        <v>208</v>
      </c>
      <c r="E84" s="2" t="s">
        <v>225</v>
      </c>
      <c r="F84" s="2"/>
      <c r="G84">
        <f t="shared" ref="G84:H99" si="3">G83</f>
        <v>20</v>
      </c>
      <c r="H84">
        <f t="shared" si="3"/>
        <v>10</v>
      </c>
      <c r="I84" t="str">
        <f>VLOOKUP($A84,Sheet1!$E:$I,4,0)</f>
        <v>Mr. Vincent Cheng</v>
      </c>
      <c r="J84" t="str">
        <f>VLOOKUP($A84,Sheet1!$E:$I,5,0)</f>
        <v>PT</v>
      </c>
    </row>
    <row r="85" spans="1:10">
      <c r="A85" s="1" t="s">
        <v>239</v>
      </c>
      <c r="B85" s="1" t="s">
        <v>181</v>
      </c>
      <c r="C85" s="2" t="s">
        <v>205</v>
      </c>
      <c r="D85" s="2" t="s">
        <v>208</v>
      </c>
      <c r="E85" s="2" t="s">
        <v>225</v>
      </c>
      <c r="F85" s="2"/>
      <c r="G85">
        <f t="shared" si="3"/>
        <v>20</v>
      </c>
      <c r="H85">
        <f t="shared" si="3"/>
        <v>10</v>
      </c>
      <c r="I85" t="str">
        <f>VLOOKUP($A85,Sheet1!$E:$I,4,0)</f>
        <v>Mr. Vincent Cheng</v>
      </c>
      <c r="J85" t="str">
        <f>VLOOKUP($A85,Sheet1!$E:$I,5,0)</f>
        <v>PT</v>
      </c>
    </row>
    <row r="86" spans="1:10">
      <c r="A86" s="1" t="s">
        <v>240</v>
      </c>
      <c r="B86" s="1" t="s">
        <v>182</v>
      </c>
      <c r="C86" s="2" t="s">
        <v>205</v>
      </c>
      <c r="D86" s="2" t="s">
        <v>208</v>
      </c>
      <c r="E86" s="2" t="s">
        <v>225</v>
      </c>
      <c r="F86" s="2"/>
      <c r="G86">
        <f t="shared" si="3"/>
        <v>20</v>
      </c>
      <c r="H86">
        <f t="shared" si="3"/>
        <v>10</v>
      </c>
      <c r="I86" t="str">
        <f>VLOOKUP($A86,Sheet1!$E:$I,4,0)</f>
        <v>TBC</v>
      </c>
      <c r="J86" t="str">
        <f>VLOOKUP($A86,Sheet1!$E:$I,5,0)</f>
        <v>PT</v>
      </c>
    </row>
    <row r="87" spans="1:10">
      <c r="A87" s="1" t="s">
        <v>183</v>
      </c>
      <c r="B87" s="1" t="s">
        <v>184</v>
      </c>
      <c r="C87" s="2" t="s">
        <v>205</v>
      </c>
      <c r="D87" s="2" t="s">
        <v>209</v>
      </c>
      <c r="E87" s="2" t="s">
        <v>225</v>
      </c>
      <c r="F87" s="2"/>
      <c r="G87">
        <f t="shared" si="3"/>
        <v>20</v>
      </c>
      <c r="H87">
        <f t="shared" si="3"/>
        <v>10</v>
      </c>
      <c r="I87" t="str">
        <f>VLOOKUP($A87,Sheet1!$E:$I,4,0)</f>
        <v>TBC</v>
      </c>
      <c r="J87" t="str">
        <f>VLOOKUP($A87,Sheet1!$E:$I,5,0)</f>
        <v>PT</v>
      </c>
    </row>
    <row r="88" spans="1:10">
      <c r="A88" s="1" t="s">
        <v>185</v>
      </c>
      <c r="B88" s="1" t="s">
        <v>186</v>
      </c>
      <c r="C88" s="2" t="s">
        <v>205</v>
      </c>
      <c r="D88" s="2" t="s">
        <v>209</v>
      </c>
      <c r="E88" s="2" t="s">
        <v>225</v>
      </c>
      <c r="F88" s="2"/>
      <c r="G88">
        <f t="shared" si="3"/>
        <v>20</v>
      </c>
      <c r="H88">
        <f t="shared" si="3"/>
        <v>10</v>
      </c>
      <c r="I88" t="str">
        <f>VLOOKUP($A88,Sheet1!$E:$I,4,0)</f>
        <v>Mr. Walter Chan</v>
      </c>
      <c r="J88" t="str">
        <f>VLOOKUP($A88,Sheet1!$E:$I,5,0)</f>
        <v>FT</v>
      </c>
    </row>
    <row r="89" spans="1:10">
      <c r="A89" s="1" t="s">
        <v>241</v>
      </c>
      <c r="B89" s="1" t="s">
        <v>187</v>
      </c>
      <c r="C89" s="2" t="s">
        <v>206</v>
      </c>
      <c r="D89" s="2" t="s">
        <v>208</v>
      </c>
      <c r="E89" s="2" t="s">
        <v>225</v>
      </c>
      <c r="F89" s="2"/>
      <c r="G89">
        <f t="shared" si="3"/>
        <v>20</v>
      </c>
      <c r="H89">
        <f t="shared" si="3"/>
        <v>10</v>
      </c>
      <c r="I89" t="str">
        <f>VLOOKUP($A89,Sheet1!$E:$I,4,0)</f>
        <v>Mr. Ivan So</v>
      </c>
      <c r="J89" t="str">
        <f>VLOOKUP($A89,Sheet1!$E:$I,5,0)</f>
        <v>PT</v>
      </c>
    </row>
    <row r="90" spans="1:10">
      <c r="A90" s="1" t="s">
        <v>242</v>
      </c>
      <c r="B90" s="1" t="s">
        <v>188</v>
      </c>
      <c r="C90" s="2" t="s">
        <v>206</v>
      </c>
      <c r="D90" s="2" t="s">
        <v>208</v>
      </c>
      <c r="E90" s="2" t="s">
        <v>225</v>
      </c>
      <c r="F90" s="2"/>
      <c r="G90">
        <f t="shared" si="3"/>
        <v>20</v>
      </c>
      <c r="H90">
        <f t="shared" si="3"/>
        <v>10</v>
      </c>
      <c r="I90" t="str">
        <f>VLOOKUP($A90,Sheet1!$E:$I,4,0)</f>
        <v>Mr. Stanley Wong</v>
      </c>
      <c r="J90" t="str">
        <f>VLOOKUP($A90,Sheet1!$E:$I,5,0)</f>
        <v>PT</v>
      </c>
    </row>
    <row r="91" spans="1:10">
      <c r="A91" s="1" t="s">
        <v>243</v>
      </c>
      <c r="B91" s="1" t="s">
        <v>189</v>
      </c>
      <c r="C91" s="2" t="s">
        <v>206</v>
      </c>
      <c r="D91" s="2" t="s">
        <v>208</v>
      </c>
      <c r="E91" s="2" t="s">
        <v>225</v>
      </c>
      <c r="F91" s="2"/>
      <c r="G91">
        <f t="shared" si="3"/>
        <v>20</v>
      </c>
      <c r="H91">
        <f t="shared" si="3"/>
        <v>10</v>
      </c>
      <c r="I91" t="str">
        <f>VLOOKUP($A91,Sheet1!$E:$I,4,0)</f>
        <v>TBC</v>
      </c>
      <c r="J91" t="str">
        <f>VLOOKUP($A91,Sheet1!$E:$I,5,0)</f>
        <v>PT</v>
      </c>
    </row>
    <row r="92" spans="1:10">
      <c r="A92" s="1" t="s">
        <v>190</v>
      </c>
      <c r="B92" s="1" t="s">
        <v>191</v>
      </c>
      <c r="C92" s="2" t="s">
        <v>206</v>
      </c>
      <c r="D92" s="2" t="s">
        <v>208</v>
      </c>
      <c r="E92" s="2" t="s">
        <v>225</v>
      </c>
      <c r="F92" s="2"/>
      <c r="G92">
        <f t="shared" si="3"/>
        <v>20</v>
      </c>
      <c r="H92">
        <f t="shared" si="3"/>
        <v>10</v>
      </c>
      <c r="I92" t="str">
        <f>VLOOKUP($A92,Sheet1!$E:$I,4,0)</f>
        <v>Mr. Louis Man</v>
      </c>
      <c r="J92" t="str">
        <f>VLOOKUP($A92,Sheet1!$E:$I,5,0)</f>
        <v>PT</v>
      </c>
    </row>
    <row r="93" spans="1:10">
      <c r="A93" s="1" t="s">
        <v>192</v>
      </c>
      <c r="B93" s="1" t="s">
        <v>193</v>
      </c>
      <c r="C93" s="2" t="s">
        <v>206</v>
      </c>
      <c r="D93" s="2" t="s">
        <v>209</v>
      </c>
      <c r="E93" s="2" t="s">
        <v>225</v>
      </c>
      <c r="F93" s="2"/>
      <c r="G93">
        <f t="shared" si="3"/>
        <v>20</v>
      </c>
      <c r="H93">
        <f t="shared" si="3"/>
        <v>10</v>
      </c>
      <c r="I93" t="str">
        <f>VLOOKUP($A93,Sheet1!$E:$I,4,0)</f>
        <v>Dr. Ernest So</v>
      </c>
      <c r="J93" t="str">
        <f>VLOOKUP($A93,Sheet1!$E:$I,5,0)</f>
        <v>FT</v>
      </c>
    </row>
    <row r="94" spans="1:10">
      <c r="A94" s="1" t="s">
        <v>194</v>
      </c>
      <c r="B94" s="1" t="s">
        <v>195</v>
      </c>
      <c r="C94" s="2" t="s">
        <v>206</v>
      </c>
      <c r="D94" s="2" t="s">
        <v>209</v>
      </c>
      <c r="E94" s="2" t="s">
        <v>225</v>
      </c>
      <c r="F94" s="2"/>
      <c r="G94">
        <f t="shared" si="3"/>
        <v>20</v>
      </c>
      <c r="H94">
        <f t="shared" si="3"/>
        <v>10</v>
      </c>
      <c r="I94" t="str">
        <f>VLOOKUP($A94,Sheet1!$E:$I,4,0)</f>
        <v>TBC</v>
      </c>
      <c r="J94" t="str">
        <f>VLOOKUP($A94,Sheet1!$E:$I,5,0)</f>
        <v>PT</v>
      </c>
    </row>
    <row r="95" spans="1:10">
      <c r="A95" s="1" t="s">
        <v>244</v>
      </c>
      <c r="B95" s="1" t="s">
        <v>196</v>
      </c>
      <c r="C95" s="2" t="s">
        <v>206</v>
      </c>
      <c r="D95" s="2" t="s">
        <v>209</v>
      </c>
      <c r="E95" s="2" t="s">
        <v>225</v>
      </c>
      <c r="F95" s="2"/>
      <c r="G95">
        <f t="shared" si="3"/>
        <v>20</v>
      </c>
      <c r="H95">
        <f t="shared" si="3"/>
        <v>10</v>
      </c>
      <c r="I95" t="str">
        <f>VLOOKUP($A95,Sheet1!$E:$I,4,0)</f>
        <v>TBC</v>
      </c>
      <c r="J95" t="str">
        <f>VLOOKUP($A95,Sheet1!$E:$I,5,0)</f>
        <v>PT</v>
      </c>
    </row>
    <row r="96" spans="1:10">
      <c r="A96" s="1" t="s">
        <v>197</v>
      </c>
      <c r="B96" s="1" t="s">
        <v>198</v>
      </c>
      <c r="C96" s="2" t="s">
        <v>207</v>
      </c>
      <c r="D96" s="2" t="s">
        <v>209</v>
      </c>
      <c r="E96" s="2" t="s">
        <v>225</v>
      </c>
      <c r="F96" s="2"/>
      <c r="G96">
        <f t="shared" si="3"/>
        <v>20</v>
      </c>
      <c r="H96">
        <f t="shared" si="3"/>
        <v>10</v>
      </c>
      <c r="I96" t="str">
        <f>VLOOKUP($A96,Sheet1!$E:$I,4,0)</f>
        <v>Mr. Vincent Cheng</v>
      </c>
      <c r="J96" t="str">
        <f>VLOOKUP($A96,Sheet1!$E:$I,5,0)</f>
        <v>PT</v>
      </c>
    </row>
    <row r="97" spans="1:10">
      <c r="A97" s="1" t="s">
        <v>329</v>
      </c>
      <c r="B97" s="1" t="s">
        <v>119</v>
      </c>
      <c r="C97" s="2" t="s">
        <v>207</v>
      </c>
      <c r="D97" s="2" t="s">
        <v>208</v>
      </c>
      <c r="E97" s="2" t="s">
        <v>217</v>
      </c>
      <c r="F97" s="2"/>
      <c r="G97">
        <f t="shared" si="3"/>
        <v>20</v>
      </c>
      <c r="H97">
        <f t="shared" si="3"/>
        <v>10</v>
      </c>
      <c r="I97" t="e">
        <f>VLOOKUP($A97,Sheet1!$E:$I,4,0)</f>
        <v>#N/A</v>
      </c>
      <c r="J97" t="e">
        <f>VLOOKUP($A97,Sheet1!$E:$I,5,0)</f>
        <v>#N/A</v>
      </c>
    </row>
    <row r="98" spans="1:10">
      <c r="A98" s="1" t="s">
        <v>329</v>
      </c>
      <c r="B98" s="1" t="s">
        <v>119</v>
      </c>
      <c r="C98" s="2" t="s">
        <v>207</v>
      </c>
      <c r="D98" s="2" t="s">
        <v>208</v>
      </c>
      <c r="E98" s="2" t="s">
        <v>218</v>
      </c>
      <c r="F98" s="2"/>
      <c r="G98">
        <f t="shared" si="3"/>
        <v>20</v>
      </c>
      <c r="H98">
        <f t="shared" si="3"/>
        <v>10</v>
      </c>
      <c r="I98" t="e">
        <f>VLOOKUP($A98,Sheet1!$E:$I,4,0)</f>
        <v>#N/A</v>
      </c>
      <c r="J98" t="e">
        <f>VLOOKUP($A98,Sheet1!$E:$I,5,0)</f>
        <v>#N/A</v>
      </c>
    </row>
    <row r="99" spans="1:10">
      <c r="A99" s="1" t="s">
        <v>120</v>
      </c>
      <c r="B99" s="1" t="s">
        <v>63</v>
      </c>
      <c r="C99" s="2" t="s">
        <v>207</v>
      </c>
      <c r="D99" s="2" t="s">
        <v>208</v>
      </c>
      <c r="E99" s="2" t="s">
        <v>217</v>
      </c>
      <c r="F99" s="2"/>
      <c r="G99">
        <f t="shared" si="3"/>
        <v>20</v>
      </c>
      <c r="H99">
        <f t="shared" si="3"/>
        <v>10</v>
      </c>
      <c r="I99" t="str">
        <f>VLOOKUP($A99,Sheet1!$E:$I,4,0)</f>
        <v>Dr Jonathan Lee</v>
      </c>
      <c r="J99" t="str">
        <f>VLOOKUP($A99,Sheet1!$E:$I,5,0)</f>
        <v>PT</v>
      </c>
    </row>
    <row r="100" spans="1:10">
      <c r="A100" s="1" t="s">
        <v>120</v>
      </c>
      <c r="B100" s="1" t="s">
        <v>63</v>
      </c>
      <c r="C100" s="2" t="s">
        <v>207</v>
      </c>
      <c r="D100" s="2" t="s">
        <v>208</v>
      </c>
      <c r="E100" s="2" t="s">
        <v>218</v>
      </c>
      <c r="F100" s="2"/>
      <c r="G100">
        <f t="shared" ref="G100:H115" si="4">G99</f>
        <v>20</v>
      </c>
      <c r="H100">
        <f t="shared" si="4"/>
        <v>10</v>
      </c>
      <c r="I100" t="str">
        <f>VLOOKUP($A100,Sheet1!$E:$I,4,0)</f>
        <v>Dr Jonathan Lee</v>
      </c>
      <c r="J100" t="str">
        <f>VLOOKUP($A100,Sheet1!$E:$I,5,0)</f>
        <v>PT</v>
      </c>
    </row>
    <row r="101" spans="1:10">
      <c r="A101" s="1" t="s">
        <v>121</v>
      </c>
      <c r="B101" s="1" t="s">
        <v>122</v>
      </c>
      <c r="C101" s="2" t="s">
        <v>207</v>
      </c>
      <c r="D101" s="2" t="s">
        <v>208</v>
      </c>
      <c r="E101" s="2" t="s">
        <v>217</v>
      </c>
      <c r="F101" s="2"/>
      <c r="G101">
        <f t="shared" si="4"/>
        <v>20</v>
      </c>
      <c r="H101">
        <f t="shared" si="4"/>
        <v>10</v>
      </c>
      <c r="I101" t="str">
        <f>VLOOKUP($A101,Sheet1!$E:$I,4,0)</f>
        <v>Mr. Patrick Tsang</v>
      </c>
      <c r="J101" t="str">
        <f>VLOOKUP($A101,Sheet1!$E:$I,5,0)</f>
        <v>PT</v>
      </c>
    </row>
    <row r="102" spans="1:10">
      <c r="A102" s="1" t="s">
        <v>330</v>
      </c>
      <c r="B102" s="1" t="s">
        <v>119</v>
      </c>
      <c r="C102" s="2" t="s">
        <v>207</v>
      </c>
      <c r="D102" s="2" t="s">
        <v>209</v>
      </c>
      <c r="E102" s="2" t="s">
        <v>217</v>
      </c>
      <c r="F102" s="2"/>
      <c r="G102">
        <f t="shared" si="4"/>
        <v>20</v>
      </c>
      <c r="H102">
        <f t="shared" si="4"/>
        <v>10</v>
      </c>
      <c r="I102" t="e">
        <f>VLOOKUP($A102,Sheet1!$E:$I,4,0)</f>
        <v>#N/A</v>
      </c>
      <c r="J102" t="e">
        <f>VLOOKUP($A102,Sheet1!$E:$I,5,0)</f>
        <v>#N/A</v>
      </c>
    </row>
    <row r="103" spans="1:10">
      <c r="A103" s="1" t="s">
        <v>330</v>
      </c>
      <c r="B103" s="1" t="s">
        <v>119</v>
      </c>
      <c r="C103" s="2" t="s">
        <v>207</v>
      </c>
      <c r="D103" s="2" t="s">
        <v>209</v>
      </c>
      <c r="E103" s="2" t="s">
        <v>218</v>
      </c>
      <c r="F103" s="2"/>
      <c r="G103">
        <f t="shared" si="4"/>
        <v>20</v>
      </c>
      <c r="H103">
        <f t="shared" si="4"/>
        <v>10</v>
      </c>
      <c r="I103" t="e">
        <f>VLOOKUP($A103,Sheet1!$E:$I,4,0)</f>
        <v>#N/A</v>
      </c>
      <c r="J103" t="e">
        <f>VLOOKUP($A103,Sheet1!$E:$I,5,0)</f>
        <v>#N/A</v>
      </c>
    </row>
    <row r="104" spans="1:10">
      <c r="A104" s="1" t="s">
        <v>123</v>
      </c>
      <c r="B104" s="1" t="s">
        <v>124</v>
      </c>
      <c r="C104" s="2" t="s">
        <v>207</v>
      </c>
      <c r="D104" s="2" t="s">
        <v>209</v>
      </c>
      <c r="E104" s="2" t="s">
        <v>217</v>
      </c>
      <c r="F104" s="2"/>
      <c r="G104">
        <f t="shared" si="4"/>
        <v>20</v>
      </c>
      <c r="H104">
        <f t="shared" si="4"/>
        <v>10</v>
      </c>
      <c r="I104" t="str">
        <f>VLOOKUP($A104,Sheet1!$E:$I,4,0)</f>
        <v>Mr. Sam Mang</v>
      </c>
      <c r="J104" t="str">
        <f>VLOOKUP($A104,Sheet1!$E:$I,5,0)</f>
        <v>PT</v>
      </c>
    </row>
    <row r="105" spans="1:10">
      <c r="A105" s="1" t="s">
        <v>125</v>
      </c>
      <c r="B105" s="1" t="s">
        <v>126</v>
      </c>
      <c r="C105" s="2" t="s">
        <v>207</v>
      </c>
      <c r="D105" s="2" t="s">
        <v>209</v>
      </c>
      <c r="E105" s="2" t="s">
        <v>217</v>
      </c>
      <c r="F105" s="2"/>
      <c r="G105">
        <f t="shared" si="4"/>
        <v>20</v>
      </c>
      <c r="H105">
        <f t="shared" si="4"/>
        <v>10</v>
      </c>
      <c r="I105" t="str">
        <f>VLOOKUP($A105,Sheet1!$E:$I,4,0)</f>
        <v>Mr. Russel Lo</v>
      </c>
      <c r="J105" t="str">
        <f>VLOOKUP($A105,Sheet1!$E:$I,5,0)</f>
        <v>PT</v>
      </c>
    </row>
    <row r="106" spans="1:10">
      <c r="A106" s="1" t="s">
        <v>127</v>
      </c>
      <c r="B106" s="1" t="s">
        <v>128</v>
      </c>
      <c r="C106" s="2" t="s">
        <v>207</v>
      </c>
      <c r="D106" s="2" t="s">
        <v>208</v>
      </c>
      <c r="E106" s="2" t="s">
        <v>218</v>
      </c>
      <c r="F106" s="2"/>
      <c r="G106">
        <f t="shared" si="4"/>
        <v>20</v>
      </c>
      <c r="H106">
        <f t="shared" si="4"/>
        <v>10</v>
      </c>
      <c r="I106" t="str">
        <f>VLOOKUP($A106,Sheet1!$E:$I,4,0)</f>
        <v>Mr. Sam Mang</v>
      </c>
      <c r="J106" t="str">
        <f>VLOOKUP($A106,Sheet1!$E:$I,5,0)</f>
        <v>PT</v>
      </c>
    </row>
    <row r="107" spans="1:10">
      <c r="A107" s="1" t="s">
        <v>129</v>
      </c>
      <c r="B107" s="1" t="s">
        <v>130</v>
      </c>
      <c r="C107" s="2" t="s">
        <v>207</v>
      </c>
      <c r="D107" s="2" t="s">
        <v>209</v>
      </c>
      <c r="E107" s="2" t="s">
        <v>218</v>
      </c>
      <c r="F107" s="2"/>
      <c r="G107">
        <f t="shared" si="4"/>
        <v>20</v>
      </c>
      <c r="H107">
        <f t="shared" si="4"/>
        <v>10</v>
      </c>
      <c r="I107" t="str">
        <f>VLOOKUP($A107,Sheet1!$E:$I,4,0)</f>
        <v>Mr. Russel Lo</v>
      </c>
      <c r="J107" t="str">
        <f>VLOOKUP($A107,Sheet1!$E:$I,5,0)</f>
        <v>PT</v>
      </c>
    </row>
    <row r="108" spans="1:10">
      <c r="A108" s="1" t="s">
        <v>131</v>
      </c>
      <c r="B108" s="1" t="s">
        <v>132</v>
      </c>
      <c r="C108" s="2" t="s">
        <v>207</v>
      </c>
      <c r="D108" s="2" t="s">
        <v>209</v>
      </c>
      <c r="E108" s="2" t="s">
        <v>218</v>
      </c>
      <c r="F108" s="2"/>
      <c r="G108">
        <f t="shared" si="4"/>
        <v>20</v>
      </c>
      <c r="H108">
        <f t="shared" si="4"/>
        <v>10</v>
      </c>
      <c r="I108" t="str">
        <f>VLOOKUP($A108,Sheet1!$E:$I,4,0)</f>
        <v>TBC</v>
      </c>
      <c r="J108" t="str">
        <f>VLOOKUP($A108,Sheet1!$E:$I,5,0)</f>
        <v>PT</v>
      </c>
    </row>
    <row r="109" spans="1:10">
      <c r="A109" s="1" t="s">
        <v>327</v>
      </c>
      <c r="B109" s="1" t="s">
        <v>134</v>
      </c>
      <c r="C109" s="2" t="s">
        <v>207</v>
      </c>
      <c r="D109" s="2" t="s">
        <v>208</v>
      </c>
      <c r="E109" s="2" t="s">
        <v>219</v>
      </c>
      <c r="F109" s="2"/>
      <c r="G109">
        <f t="shared" si="4"/>
        <v>20</v>
      </c>
      <c r="H109">
        <f t="shared" si="4"/>
        <v>10</v>
      </c>
      <c r="I109" t="e">
        <f>VLOOKUP($A109,Sheet1!$E:$I,4,0)</f>
        <v>#N/A</v>
      </c>
      <c r="J109" t="e">
        <f>VLOOKUP($A109,Sheet1!$E:$I,5,0)</f>
        <v>#N/A</v>
      </c>
    </row>
    <row r="110" spans="1:10">
      <c r="A110" s="1" t="s">
        <v>326</v>
      </c>
      <c r="B110" s="1" t="s">
        <v>134</v>
      </c>
      <c r="C110" s="2" t="s">
        <v>207</v>
      </c>
      <c r="D110" s="2" t="s">
        <v>209</v>
      </c>
      <c r="E110" s="2" t="s">
        <v>219</v>
      </c>
      <c r="F110" s="2"/>
      <c r="G110">
        <f t="shared" si="4"/>
        <v>20</v>
      </c>
      <c r="H110">
        <f t="shared" si="4"/>
        <v>10</v>
      </c>
      <c r="I110" t="e">
        <f>VLOOKUP($A110,Sheet1!$E:$I,4,0)</f>
        <v>#N/A</v>
      </c>
      <c r="J110" t="e">
        <f>VLOOKUP($A110,Sheet1!$E:$I,5,0)</f>
        <v>#N/A</v>
      </c>
    </row>
    <row r="111" spans="1:10">
      <c r="A111" s="1" t="s">
        <v>135</v>
      </c>
      <c r="B111" s="1" t="s">
        <v>136</v>
      </c>
      <c r="C111" s="2" t="s">
        <v>207</v>
      </c>
      <c r="D111" s="2" t="s">
        <v>208</v>
      </c>
      <c r="E111" s="2" t="s">
        <v>219</v>
      </c>
      <c r="F111" s="2"/>
      <c r="G111">
        <f t="shared" si="4"/>
        <v>20</v>
      </c>
      <c r="H111">
        <f t="shared" si="4"/>
        <v>10</v>
      </c>
      <c r="I111" t="str">
        <f>VLOOKUP($A111,Sheet1!$E:$I,4,0)</f>
        <v>Dr HK Ng</v>
      </c>
      <c r="J111" t="str">
        <f>VLOOKUP($A111,Sheet1!$E:$I,5,0)</f>
        <v>FT</v>
      </c>
    </row>
    <row r="112" spans="1:10">
      <c r="A112" s="1" t="s">
        <v>137</v>
      </c>
      <c r="B112" s="1" t="s">
        <v>138</v>
      </c>
      <c r="C112" s="2" t="s">
        <v>207</v>
      </c>
      <c r="D112" s="2" t="s">
        <v>208</v>
      </c>
      <c r="E112" s="2" t="s">
        <v>219</v>
      </c>
      <c r="F112" s="2"/>
      <c r="G112">
        <f t="shared" si="4"/>
        <v>20</v>
      </c>
      <c r="H112">
        <f t="shared" si="4"/>
        <v>10</v>
      </c>
      <c r="I112" t="str">
        <f>VLOOKUP($A112,Sheet1!$E:$I,4,0)</f>
        <v>Mr. Yuman Chau</v>
      </c>
      <c r="J112" t="str">
        <f>VLOOKUP($A112,Sheet1!$E:$I,5,0)</f>
        <v>PT</v>
      </c>
    </row>
    <row r="113" spans="1:10">
      <c r="A113" s="1" t="s">
        <v>139</v>
      </c>
      <c r="B113" s="1" t="s">
        <v>140</v>
      </c>
      <c r="C113" s="2" t="s">
        <v>207</v>
      </c>
      <c r="D113" s="2" t="s">
        <v>209</v>
      </c>
      <c r="E113" s="2" t="s">
        <v>219</v>
      </c>
      <c r="F113" s="2"/>
      <c r="G113">
        <f t="shared" si="4"/>
        <v>20</v>
      </c>
      <c r="H113">
        <f t="shared" si="4"/>
        <v>10</v>
      </c>
      <c r="I113" t="str">
        <f>VLOOKUP($A113,Sheet1!$E:$I,4,0)</f>
        <v>Mr. Russel Lo</v>
      </c>
      <c r="J113" t="str">
        <f>VLOOKUP($A113,Sheet1!$E:$I,5,0)</f>
        <v>PT</v>
      </c>
    </row>
    <row r="114" spans="1:10">
      <c r="A114" s="1" t="s">
        <v>141</v>
      </c>
      <c r="B114" s="1" t="s">
        <v>142</v>
      </c>
      <c r="C114" s="2" t="s">
        <v>207</v>
      </c>
      <c r="D114" s="2" t="s">
        <v>209</v>
      </c>
      <c r="E114" s="2" t="s">
        <v>219</v>
      </c>
      <c r="F114" s="2"/>
      <c r="G114">
        <f t="shared" si="4"/>
        <v>20</v>
      </c>
      <c r="H114">
        <f t="shared" si="4"/>
        <v>10</v>
      </c>
      <c r="I114" t="str">
        <f>VLOOKUP($A114,Sheet1!$E:$I,4,0)</f>
        <v>Dr HK Ng</v>
      </c>
      <c r="J114" t="str">
        <f>VLOOKUP($A114,Sheet1!$E:$I,5,0)</f>
        <v>FT</v>
      </c>
    </row>
    <row r="115" spans="1:10">
      <c r="A115" s="1" t="s">
        <v>143</v>
      </c>
      <c r="B115" s="1" t="s">
        <v>144</v>
      </c>
      <c r="C115" s="2" t="s">
        <v>207</v>
      </c>
      <c r="D115" s="2" t="s">
        <v>208</v>
      </c>
      <c r="E115" s="2" t="s">
        <v>220</v>
      </c>
      <c r="F115" s="2"/>
      <c r="G115">
        <f t="shared" si="4"/>
        <v>20</v>
      </c>
      <c r="H115">
        <f t="shared" si="4"/>
        <v>10</v>
      </c>
      <c r="I115" t="str">
        <f>VLOOKUP($A115,Sheet1!$E:$I,4,0)</f>
        <v>Dr Monica Cheung</v>
      </c>
      <c r="J115" t="str">
        <f>VLOOKUP($A115,Sheet1!$E:$I,5,0)</f>
        <v>PT</v>
      </c>
    </row>
    <row r="116" spans="1:10">
      <c r="A116" s="1" t="s">
        <v>325</v>
      </c>
      <c r="B116" s="1" t="s">
        <v>146</v>
      </c>
      <c r="C116" s="2" t="s">
        <v>207</v>
      </c>
      <c r="D116" s="2" t="s">
        <v>208</v>
      </c>
      <c r="E116" s="2" t="s">
        <v>221</v>
      </c>
      <c r="F116" s="2"/>
      <c r="G116">
        <f t="shared" ref="G116:H131" si="5">G115</f>
        <v>20</v>
      </c>
      <c r="H116">
        <f t="shared" si="5"/>
        <v>10</v>
      </c>
      <c r="I116" t="e">
        <f>VLOOKUP($A116,Sheet1!$E:$I,4,0)</f>
        <v>#N/A</v>
      </c>
      <c r="J116" t="e">
        <f>VLOOKUP($A116,Sheet1!$E:$I,5,0)</f>
        <v>#N/A</v>
      </c>
    </row>
    <row r="117" spans="1:10">
      <c r="A117" s="1" t="s">
        <v>325</v>
      </c>
      <c r="B117" s="1" t="s">
        <v>146</v>
      </c>
      <c r="C117" s="2" t="s">
        <v>207</v>
      </c>
      <c r="D117" s="2" t="s">
        <v>208</v>
      </c>
      <c r="E117" s="2" t="s">
        <v>220</v>
      </c>
      <c r="F117" s="2"/>
      <c r="G117">
        <f t="shared" si="5"/>
        <v>20</v>
      </c>
      <c r="H117">
        <f t="shared" si="5"/>
        <v>10</v>
      </c>
      <c r="I117" t="e">
        <f>VLOOKUP($A117,Sheet1!$E:$I,4,0)</f>
        <v>#N/A</v>
      </c>
      <c r="J117" t="e">
        <f>VLOOKUP($A117,Sheet1!$E:$I,5,0)</f>
        <v>#N/A</v>
      </c>
    </row>
    <row r="118" spans="1:10">
      <c r="A118" s="1" t="s">
        <v>147</v>
      </c>
      <c r="B118" s="1" t="s">
        <v>148</v>
      </c>
      <c r="C118" s="2" t="s">
        <v>207</v>
      </c>
      <c r="D118" s="2" t="s">
        <v>208</v>
      </c>
      <c r="E118" s="2" t="s">
        <v>221</v>
      </c>
      <c r="F118" s="2"/>
      <c r="G118">
        <f t="shared" si="5"/>
        <v>20</v>
      </c>
      <c r="H118">
        <f t="shared" si="5"/>
        <v>10</v>
      </c>
      <c r="I118" t="str">
        <f>VLOOKUP($A118,Sheet1!$E:$I,4,0)</f>
        <v>Mr Newman Lo</v>
      </c>
      <c r="J118" t="str">
        <f>VLOOKUP($A118,Sheet1!$E:$I,5,0)</f>
        <v>PT</v>
      </c>
    </row>
    <row r="119" spans="1:10">
      <c r="A119" s="1" t="s">
        <v>147</v>
      </c>
      <c r="B119" s="1" t="s">
        <v>148</v>
      </c>
      <c r="C119" s="2" t="s">
        <v>207</v>
      </c>
      <c r="D119" s="2" t="s">
        <v>208</v>
      </c>
      <c r="E119" s="2" t="s">
        <v>220</v>
      </c>
      <c r="F119" s="2"/>
      <c r="G119">
        <f t="shared" si="5"/>
        <v>20</v>
      </c>
      <c r="H119">
        <f t="shared" si="5"/>
        <v>10</v>
      </c>
      <c r="I119" t="str">
        <f>VLOOKUP($A119,Sheet1!$E:$I,4,0)</f>
        <v>Mr Newman Lo</v>
      </c>
      <c r="J119" t="str">
        <f>VLOOKUP($A119,Sheet1!$E:$I,5,0)</f>
        <v>PT</v>
      </c>
    </row>
    <row r="120" spans="1:10">
      <c r="A120" s="1" t="s">
        <v>149</v>
      </c>
      <c r="B120" s="1" t="s">
        <v>150</v>
      </c>
      <c r="C120" s="2" t="s">
        <v>207</v>
      </c>
      <c r="D120" s="2" t="s">
        <v>208</v>
      </c>
      <c r="E120" s="2" t="s">
        <v>220</v>
      </c>
      <c r="F120" s="2"/>
      <c r="G120">
        <f t="shared" si="5"/>
        <v>20</v>
      </c>
      <c r="H120">
        <f t="shared" si="5"/>
        <v>10</v>
      </c>
      <c r="I120" t="str">
        <f>VLOOKUP($A120,Sheet1!$E:$I,4,0)</f>
        <v>Dr Monica Cheung</v>
      </c>
      <c r="J120" t="str">
        <f>VLOOKUP($A120,Sheet1!$E:$I,5,0)</f>
        <v>PT</v>
      </c>
    </row>
    <row r="121" spans="1:10">
      <c r="A121" s="1" t="s">
        <v>151</v>
      </c>
      <c r="B121" s="1" t="s">
        <v>152</v>
      </c>
      <c r="C121" s="2" t="s">
        <v>207</v>
      </c>
      <c r="D121" s="2" t="s">
        <v>209</v>
      </c>
      <c r="E121" s="2" t="s">
        <v>220</v>
      </c>
      <c r="F121" s="2"/>
      <c r="G121">
        <f t="shared" si="5"/>
        <v>20</v>
      </c>
      <c r="H121">
        <f t="shared" si="5"/>
        <v>10</v>
      </c>
      <c r="I121" t="str">
        <f>VLOOKUP($A121,Sheet1!$E:$I,4,0)</f>
        <v>Dr Monica Cheung</v>
      </c>
      <c r="J121" t="str">
        <f>VLOOKUP($A121,Sheet1!$E:$I,5,0)</f>
        <v>PT</v>
      </c>
    </row>
    <row r="122" spans="1:10">
      <c r="A122" s="1" t="s">
        <v>328</v>
      </c>
      <c r="B122" s="1" t="s">
        <v>146</v>
      </c>
      <c r="C122" s="2" t="s">
        <v>207</v>
      </c>
      <c r="D122" s="2" t="s">
        <v>209</v>
      </c>
      <c r="E122" s="2" t="s">
        <v>221</v>
      </c>
      <c r="F122" s="2"/>
      <c r="G122">
        <f t="shared" si="5"/>
        <v>20</v>
      </c>
      <c r="H122">
        <f t="shared" si="5"/>
        <v>10</v>
      </c>
      <c r="I122" t="e">
        <f>VLOOKUP($A122,Sheet1!$E:$I,4,0)</f>
        <v>#N/A</v>
      </c>
      <c r="J122" t="e">
        <f>VLOOKUP($A122,Sheet1!$E:$I,5,0)</f>
        <v>#N/A</v>
      </c>
    </row>
    <row r="123" spans="1:10">
      <c r="A123" s="1" t="s">
        <v>328</v>
      </c>
      <c r="B123" s="1" t="s">
        <v>146</v>
      </c>
      <c r="C123" s="2" t="s">
        <v>207</v>
      </c>
      <c r="D123" s="2" t="s">
        <v>209</v>
      </c>
      <c r="E123" s="2" t="s">
        <v>220</v>
      </c>
      <c r="F123" s="2"/>
      <c r="G123">
        <f t="shared" si="5"/>
        <v>20</v>
      </c>
      <c r="H123">
        <f t="shared" si="5"/>
        <v>10</v>
      </c>
      <c r="I123" t="e">
        <f>VLOOKUP($A123,Sheet1!$E:$I,4,0)</f>
        <v>#N/A</v>
      </c>
      <c r="J123" t="e">
        <f>VLOOKUP($A123,Sheet1!$E:$I,5,0)</f>
        <v>#N/A</v>
      </c>
    </row>
    <row r="124" spans="1:10">
      <c r="A124" s="1" t="s">
        <v>153</v>
      </c>
      <c r="B124" s="1" t="s">
        <v>154</v>
      </c>
      <c r="C124" s="2" t="s">
        <v>207</v>
      </c>
      <c r="D124" s="2" t="s">
        <v>209</v>
      </c>
      <c r="E124" s="2" t="s">
        <v>220</v>
      </c>
      <c r="F124" s="2"/>
      <c r="G124">
        <f t="shared" si="5"/>
        <v>20</v>
      </c>
      <c r="H124">
        <f t="shared" si="5"/>
        <v>10</v>
      </c>
      <c r="I124" t="str">
        <f>VLOOKUP($A124,Sheet1!$E:$I,4,0)</f>
        <v>Dr Monica Cheung</v>
      </c>
      <c r="J124" t="str">
        <f>VLOOKUP($A124,Sheet1!$E:$I,5,0)</f>
        <v>PT</v>
      </c>
    </row>
    <row r="125" spans="1:10">
      <c r="A125" s="1" t="s">
        <v>155</v>
      </c>
      <c r="B125" s="1" t="s">
        <v>156</v>
      </c>
      <c r="C125" s="2" t="s">
        <v>207</v>
      </c>
      <c r="D125" s="2" t="s">
        <v>208</v>
      </c>
      <c r="E125" s="2" t="s">
        <v>221</v>
      </c>
      <c r="F125" s="2"/>
      <c r="G125">
        <f t="shared" si="5"/>
        <v>20</v>
      </c>
      <c r="H125">
        <f t="shared" si="5"/>
        <v>10</v>
      </c>
      <c r="I125" t="str">
        <f>VLOOKUP($A125,Sheet1!$E:$I,4,0)</f>
        <v>Ms Nicola Chow</v>
      </c>
      <c r="J125" t="str">
        <f>VLOOKUP($A125,Sheet1!$E:$I,5,0)</f>
        <v>FT</v>
      </c>
    </row>
    <row r="126" spans="1:10">
      <c r="A126" s="1" t="s">
        <v>157</v>
      </c>
      <c r="B126" s="1" t="s">
        <v>230</v>
      </c>
      <c r="C126" s="2" t="s">
        <v>207</v>
      </c>
      <c r="D126" s="2" t="s">
        <v>209</v>
      </c>
      <c r="E126" s="2" t="s">
        <v>221</v>
      </c>
      <c r="F126" s="2"/>
      <c r="G126">
        <f t="shared" si="5"/>
        <v>20</v>
      </c>
      <c r="H126">
        <f t="shared" si="5"/>
        <v>10</v>
      </c>
      <c r="I126" t="str">
        <f>VLOOKUP($A126,Sheet1!$E:$I,4,0)</f>
        <v>Dr Alphaeus Tam</v>
      </c>
      <c r="J126" t="str">
        <f>VLOOKUP($A126,Sheet1!$E:$I,5,0)</f>
        <v>FT</v>
      </c>
    </row>
    <row r="127" spans="1:10">
      <c r="A127" s="1" t="s">
        <v>158</v>
      </c>
      <c r="B127" s="1" t="s">
        <v>159</v>
      </c>
      <c r="C127" s="2" t="s">
        <v>207</v>
      </c>
      <c r="D127" s="2" t="s">
        <v>209</v>
      </c>
      <c r="E127" s="2" t="s">
        <v>221</v>
      </c>
      <c r="F127" s="2"/>
      <c r="G127">
        <f t="shared" si="5"/>
        <v>20</v>
      </c>
      <c r="H127">
        <f t="shared" si="5"/>
        <v>10</v>
      </c>
      <c r="I127" t="str">
        <f>VLOOKUP($A127,Sheet1!$E:$I,4,0)</f>
        <v>Ms Nicola Chow</v>
      </c>
      <c r="J127" t="str">
        <f>VLOOKUP($A127,Sheet1!$E:$I,5,0)</f>
        <v>FT</v>
      </c>
    </row>
    <row r="128" spans="1:10">
      <c r="A128" s="1" t="s">
        <v>160</v>
      </c>
      <c r="B128" s="1" t="s">
        <v>148</v>
      </c>
      <c r="C128" s="2" t="s">
        <v>207</v>
      </c>
      <c r="D128" s="2" t="s">
        <v>208</v>
      </c>
      <c r="E128" s="2" t="s">
        <v>223</v>
      </c>
      <c r="F128" s="2"/>
      <c r="G128">
        <f t="shared" si="5"/>
        <v>20</v>
      </c>
      <c r="H128">
        <f t="shared" si="5"/>
        <v>10</v>
      </c>
      <c r="I128" t="str">
        <f>VLOOKUP($A128,Sheet1!$E:$I,4,0)</f>
        <v>Dr Alphaeus Tam</v>
      </c>
      <c r="J128" t="str">
        <f>VLOOKUP($A128,Sheet1!$E:$I,5,0)</f>
        <v>FT</v>
      </c>
    </row>
    <row r="129" spans="1:10">
      <c r="A129" s="1" t="s">
        <v>161</v>
      </c>
      <c r="B129" s="1" t="s">
        <v>162</v>
      </c>
      <c r="C129" s="2" t="s">
        <v>207</v>
      </c>
      <c r="D129" s="2" t="s">
        <v>208</v>
      </c>
      <c r="E129" s="2" t="s">
        <v>223</v>
      </c>
      <c r="F129" s="2"/>
      <c r="G129">
        <f t="shared" si="5"/>
        <v>20</v>
      </c>
      <c r="H129">
        <f t="shared" si="5"/>
        <v>10</v>
      </c>
      <c r="I129" t="str">
        <f>VLOOKUP($A129,Sheet1!$E:$I,4,0)</f>
        <v>Dr Alphaeus Tam</v>
      </c>
      <c r="J129" t="str">
        <f>VLOOKUP($A129,Sheet1!$E:$I,5,0)</f>
        <v>FT</v>
      </c>
    </row>
    <row r="130" spans="1:10">
      <c r="A130" s="1" t="s">
        <v>163</v>
      </c>
      <c r="B130" s="1" t="s">
        <v>164</v>
      </c>
      <c r="C130" s="2" t="s">
        <v>207</v>
      </c>
      <c r="D130" s="2" t="s">
        <v>208</v>
      </c>
      <c r="E130" s="2" t="s">
        <v>223</v>
      </c>
      <c r="F130" s="2"/>
      <c r="G130">
        <f t="shared" si="5"/>
        <v>20</v>
      </c>
      <c r="H130">
        <f t="shared" si="5"/>
        <v>10</v>
      </c>
      <c r="I130" t="str">
        <f>VLOOKUP($A130,Sheet1!$E:$I,4,0)</f>
        <v>Ms Nicola Chow</v>
      </c>
      <c r="J130" t="str">
        <f>VLOOKUP($A130,Sheet1!$E:$I,5,0)</f>
        <v>FT</v>
      </c>
    </row>
    <row r="131" spans="1:10">
      <c r="A131" s="1" t="s">
        <v>165</v>
      </c>
      <c r="B131" s="1" t="s">
        <v>166</v>
      </c>
      <c r="C131" s="2" t="s">
        <v>207</v>
      </c>
      <c r="D131" s="2" t="s">
        <v>209</v>
      </c>
      <c r="E131" s="2" t="s">
        <v>223</v>
      </c>
      <c r="F131" s="2"/>
      <c r="G131">
        <f t="shared" si="5"/>
        <v>20</v>
      </c>
      <c r="H131">
        <f t="shared" si="5"/>
        <v>10</v>
      </c>
      <c r="I131" t="str">
        <f>VLOOKUP($A131,Sheet1!$E:$I,4,0)</f>
        <v>Dr Alphaeus Tam</v>
      </c>
      <c r="J131" t="str">
        <f>VLOOKUP($A131,Sheet1!$E:$I,5,0)</f>
        <v>FT</v>
      </c>
    </row>
    <row r="132" spans="1:10">
      <c r="A132" s="1" t="s">
        <v>167</v>
      </c>
      <c r="B132" s="1" t="s">
        <v>168</v>
      </c>
      <c r="C132" s="2" t="s">
        <v>207</v>
      </c>
      <c r="D132" s="2" t="s">
        <v>209</v>
      </c>
      <c r="E132" s="2" t="s">
        <v>223</v>
      </c>
      <c r="F132" s="2"/>
      <c r="G132">
        <f t="shared" ref="G132:H146" si="6">G131</f>
        <v>20</v>
      </c>
      <c r="H132">
        <f t="shared" si="6"/>
        <v>10</v>
      </c>
      <c r="I132" t="str">
        <f>VLOOKUP($A132,Sheet1!$E:$I,4,0)</f>
        <v>Ms Nicola Chow</v>
      </c>
      <c r="J132" t="str">
        <f>VLOOKUP($A132,Sheet1!$E:$I,5,0)</f>
        <v>FT</v>
      </c>
    </row>
    <row r="133" spans="1:10">
      <c r="A133" s="1" t="s">
        <v>169</v>
      </c>
      <c r="B133" s="1" t="s">
        <v>170</v>
      </c>
      <c r="C133" s="2" t="s">
        <v>207</v>
      </c>
      <c r="D133" s="2" t="s">
        <v>209</v>
      </c>
      <c r="E133" s="2" t="s">
        <v>223</v>
      </c>
      <c r="F133" s="2"/>
      <c r="G133">
        <f t="shared" si="6"/>
        <v>20</v>
      </c>
      <c r="H133">
        <f t="shared" si="6"/>
        <v>10</v>
      </c>
      <c r="I133" t="str">
        <f>VLOOKUP($A133,Sheet1!$E:$I,4,0)</f>
        <v>Dr Alphaeus Tam</v>
      </c>
      <c r="J133" t="str">
        <f>VLOOKUP($A133,Sheet1!$E:$I,5,0)</f>
        <v>FT</v>
      </c>
    </row>
    <row r="134" spans="1:10">
      <c r="A134" s="1" t="s">
        <v>171</v>
      </c>
      <c r="B134" s="1" t="s">
        <v>172</v>
      </c>
      <c r="C134" s="2" t="s">
        <v>207</v>
      </c>
      <c r="D134" s="2" t="s">
        <v>208</v>
      </c>
      <c r="E134" s="2" t="s">
        <v>224</v>
      </c>
      <c r="F134" s="2"/>
      <c r="G134">
        <f t="shared" si="6"/>
        <v>20</v>
      </c>
      <c r="H134">
        <f t="shared" si="6"/>
        <v>10</v>
      </c>
      <c r="I134" t="str">
        <f>VLOOKUP($A134,Sheet1!$E:$I,4,0)</f>
        <v>Philip Chan</v>
      </c>
      <c r="J134" t="str">
        <f>VLOOKUP($A134,Sheet1!$E:$I,5,0)</f>
        <v>FT</v>
      </c>
    </row>
    <row r="135" spans="1:10">
      <c r="A135" s="1" t="s">
        <v>173</v>
      </c>
      <c r="B135" s="1" t="s">
        <v>174</v>
      </c>
      <c r="C135" s="2" t="s">
        <v>207</v>
      </c>
      <c r="D135" s="2" t="s">
        <v>208</v>
      </c>
      <c r="E135" s="2" t="s">
        <v>224</v>
      </c>
      <c r="F135" s="2"/>
      <c r="G135">
        <f t="shared" si="6"/>
        <v>20</v>
      </c>
      <c r="H135">
        <f t="shared" si="6"/>
        <v>10</v>
      </c>
      <c r="I135" t="str">
        <f>VLOOKUP($A135,Sheet1!$E:$I,4,0)</f>
        <v>TBC</v>
      </c>
      <c r="J135" t="str">
        <f>VLOOKUP($A135,Sheet1!$E:$I,5,0)</f>
        <v>PT</v>
      </c>
    </row>
    <row r="136" spans="1:10">
      <c r="A136" s="1" t="s">
        <v>175</v>
      </c>
      <c r="B136" s="1" t="s">
        <v>176</v>
      </c>
      <c r="C136" s="2" t="s">
        <v>207</v>
      </c>
      <c r="D136" s="2" t="s">
        <v>208</v>
      </c>
      <c r="E136" s="2" t="s">
        <v>224</v>
      </c>
      <c r="F136" s="2"/>
      <c r="G136">
        <f t="shared" si="6"/>
        <v>20</v>
      </c>
      <c r="H136">
        <f t="shared" si="6"/>
        <v>10</v>
      </c>
      <c r="I136" t="str">
        <f>VLOOKUP($A136,Sheet1!$E:$I,4,0)</f>
        <v>TBC</v>
      </c>
      <c r="J136" t="str">
        <f>VLOOKUP($A136,Sheet1!$E:$I,5,0)</f>
        <v>PT</v>
      </c>
    </row>
    <row r="137" spans="1:10">
      <c r="A137" s="1" t="s">
        <v>178</v>
      </c>
      <c r="B137" s="1" t="s">
        <v>177</v>
      </c>
      <c r="C137" s="2" t="s">
        <v>207</v>
      </c>
      <c r="D137" s="2" t="s">
        <v>209</v>
      </c>
      <c r="E137" s="2" t="s">
        <v>224</v>
      </c>
      <c r="F137" s="2"/>
      <c r="G137">
        <f t="shared" si="6"/>
        <v>20</v>
      </c>
      <c r="H137">
        <f t="shared" si="6"/>
        <v>10</v>
      </c>
      <c r="I137" t="str">
        <f>VLOOKUP($A137,Sheet1!$E:$I,4,0)</f>
        <v>Philip Chan</v>
      </c>
      <c r="J137" t="str">
        <f>VLOOKUP($A137,Sheet1!$E:$I,5,0)</f>
        <v>FT</v>
      </c>
    </row>
    <row r="138" spans="1:10">
      <c r="A138" s="1" t="s">
        <v>180</v>
      </c>
      <c r="B138" s="3" t="s">
        <v>181</v>
      </c>
      <c r="C138" s="2" t="s">
        <v>207</v>
      </c>
      <c r="D138" s="2" t="s">
        <v>209</v>
      </c>
      <c r="E138" s="2" t="s">
        <v>224</v>
      </c>
      <c r="F138" s="2"/>
      <c r="G138">
        <f t="shared" si="6"/>
        <v>20</v>
      </c>
      <c r="H138">
        <f t="shared" si="6"/>
        <v>10</v>
      </c>
      <c r="I138" t="str">
        <f>VLOOKUP($A138,Sheet1!$E:$I,4,0)</f>
        <v>TBC</v>
      </c>
      <c r="J138" t="str">
        <f>VLOOKUP($A138,Sheet1!$E:$I,5,0)</f>
        <v>PT</v>
      </c>
    </row>
    <row r="139" spans="1:10">
      <c r="A139" s="1" t="s">
        <v>331</v>
      </c>
      <c r="B139" s="1" t="s">
        <v>146</v>
      </c>
      <c r="C139" s="2" t="s">
        <v>207</v>
      </c>
      <c r="D139" s="2" t="s">
        <v>208</v>
      </c>
      <c r="E139" s="2" t="s">
        <v>226</v>
      </c>
      <c r="F139" s="2"/>
      <c r="G139">
        <f t="shared" si="6"/>
        <v>20</v>
      </c>
      <c r="H139">
        <f t="shared" si="6"/>
        <v>10</v>
      </c>
      <c r="I139" t="e">
        <f>VLOOKUP($A139,Sheet1!$E:$I,4,0)</f>
        <v>#N/A</v>
      </c>
      <c r="J139" t="e">
        <f>VLOOKUP($A139,Sheet1!$E:$I,5,0)</f>
        <v>#N/A</v>
      </c>
    </row>
    <row r="140" spans="1:10">
      <c r="A140" s="1" t="s">
        <v>332</v>
      </c>
      <c r="B140" s="1" t="s">
        <v>146</v>
      </c>
      <c r="C140" s="2" t="s">
        <v>207</v>
      </c>
      <c r="D140" s="2" t="s">
        <v>208</v>
      </c>
      <c r="E140" s="2" t="s">
        <v>226</v>
      </c>
      <c r="F140" s="2"/>
      <c r="G140">
        <f t="shared" si="6"/>
        <v>20</v>
      </c>
      <c r="H140">
        <f t="shared" si="6"/>
        <v>10</v>
      </c>
      <c r="I140" t="e">
        <f>VLOOKUP($A140,Sheet1!$E:$I,4,0)</f>
        <v>#N/A</v>
      </c>
      <c r="J140" t="e">
        <f>VLOOKUP($A140,Sheet1!$E:$I,5,0)</f>
        <v>#N/A</v>
      </c>
    </row>
    <row r="141" spans="1:10">
      <c r="A141" s="1" t="s">
        <v>232</v>
      </c>
      <c r="B141" s="1" t="s">
        <v>199</v>
      </c>
      <c r="C141" s="2" t="s">
        <v>207</v>
      </c>
      <c r="D141" s="2" t="s">
        <v>208</v>
      </c>
      <c r="E141" s="2" t="s">
        <v>226</v>
      </c>
      <c r="F141" s="2"/>
      <c r="G141">
        <f t="shared" si="6"/>
        <v>20</v>
      </c>
      <c r="H141">
        <f t="shared" si="6"/>
        <v>10</v>
      </c>
      <c r="I141" t="str">
        <f>VLOOKUP($A141,Sheet1!$E:$I,4,0)</f>
        <v>TBC</v>
      </c>
      <c r="J141" t="str">
        <f>VLOOKUP($A141,Sheet1!$E:$I,5,0)</f>
        <v>PT</v>
      </c>
    </row>
    <row r="142" spans="1:10">
      <c r="A142" s="1" t="s">
        <v>233</v>
      </c>
      <c r="B142" s="1" t="s">
        <v>200</v>
      </c>
      <c r="C142" s="2" t="s">
        <v>207</v>
      </c>
      <c r="D142" s="2" t="s">
        <v>208</v>
      </c>
      <c r="E142" s="2" t="s">
        <v>226</v>
      </c>
      <c r="F142" s="2"/>
      <c r="G142">
        <f t="shared" si="6"/>
        <v>20</v>
      </c>
      <c r="H142">
        <f t="shared" si="6"/>
        <v>10</v>
      </c>
      <c r="I142" t="str">
        <f>VLOOKUP($A142,Sheet1!$E:$I,4,0)</f>
        <v>Dr. Ernest So</v>
      </c>
      <c r="J142" t="str">
        <f>VLOOKUP($A142,Sheet1!$E:$I,5,0)</f>
        <v>FT</v>
      </c>
    </row>
    <row r="143" spans="1:10">
      <c r="A143" s="1" t="s">
        <v>234</v>
      </c>
      <c r="B143" s="1" t="s">
        <v>201</v>
      </c>
      <c r="C143" s="2" t="s">
        <v>207</v>
      </c>
      <c r="D143" s="2" t="s">
        <v>208</v>
      </c>
      <c r="E143" s="2" t="s">
        <v>226</v>
      </c>
      <c r="F143" s="2"/>
      <c r="G143">
        <f t="shared" si="6"/>
        <v>20</v>
      </c>
      <c r="H143">
        <f t="shared" si="6"/>
        <v>10</v>
      </c>
      <c r="I143" t="str">
        <f>VLOOKUP($A143,Sheet1!$E:$I,4,0)</f>
        <v>TBC</v>
      </c>
      <c r="J143" t="str">
        <f>VLOOKUP($A143,Sheet1!$E:$I,5,0)</f>
        <v>PT</v>
      </c>
    </row>
    <row r="144" spans="1:10">
      <c r="A144" s="1" t="s">
        <v>235</v>
      </c>
      <c r="B144" s="1" t="s">
        <v>202</v>
      </c>
      <c r="C144" s="2" t="s">
        <v>207</v>
      </c>
      <c r="D144" s="2" t="s">
        <v>209</v>
      </c>
      <c r="E144" s="2" t="s">
        <v>226</v>
      </c>
      <c r="F144" s="2"/>
      <c r="G144">
        <f t="shared" si="6"/>
        <v>20</v>
      </c>
      <c r="H144">
        <f t="shared" si="6"/>
        <v>10</v>
      </c>
      <c r="I144" t="str">
        <f>VLOOKUP($A144,Sheet1!$E:$I,4,0)</f>
        <v>TBC</v>
      </c>
      <c r="J144" t="str">
        <f>VLOOKUP($A144,Sheet1!$E:$I,5,0)</f>
        <v>PT</v>
      </c>
    </row>
    <row r="145" spans="1:10">
      <c r="A145" s="1" t="s">
        <v>236</v>
      </c>
      <c r="B145" s="1" t="s">
        <v>203</v>
      </c>
      <c r="C145" s="2" t="s">
        <v>207</v>
      </c>
      <c r="D145" s="2" t="s">
        <v>209</v>
      </c>
      <c r="E145" s="2" t="s">
        <v>226</v>
      </c>
      <c r="F145" s="1"/>
      <c r="G145">
        <f t="shared" si="6"/>
        <v>20</v>
      </c>
      <c r="H145">
        <f t="shared" si="6"/>
        <v>10</v>
      </c>
      <c r="I145" t="str">
        <f>VLOOKUP($A145,Sheet1!$E:$I,4,0)</f>
        <v>TBC</v>
      </c>
      <c r="J145" t="str">
        <f>VLOOKUP($A145,Sheet1!$E:$I,5,0)</f>
        <v>PT</v>
      </c>
    </row>
    <row r="146" spans="1:10">
      <c r="A146" s="1" t="s">
        <v>237</v>
      </c>
      <c r="B146" s="1" t="s">
        <v>204</v>
      </c>
      <c r="C146" s="2" t="s">
        <v>207</v>
      </c>
      <c r="D146" s="2" t="s">
        <v>209</v>
      </c>
      <c r="E146" s="2" t="s">
        <v>226</v>
      </c>
      <c r="F146" s="1"/>
      <c r="G146">
        <f t="shared" si="6"/>
        <v>20</v>
      </c>
      <c r="H146">
        <f t="shared" si="6"/>
        <v>10</v>
      </c>
      <c r="I146" t="str">
        <f>VLOOKUP($A146,Sheet1!$E:$I,4,0)</f>
        <v>TBC</v>
      </c>
      <c r="J146" t="str">
        <f>VLOOKUP($A146,Sheet1!$E:$I,5,0)</f>
        <v>PT</v>
      </c>
    </row>
  </sheetData>
  <autoFilter ref="A1:J146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A387-7B06-46DD-9780-9C93525CACB9}">
  <dimension ref="A1:J139"/>
  <sheetViews>
    <sheetView topLeftCell="A127" workbookViewId="0">
      <selection activeCell="I122" sqref="I122"/>
    </sheetView>
  </sheetViews>
  <sheetFormatPr defaultRowHeight="14.5"/>
  <cols>
    <col min="6" max="6" width="42.54296875" customWidth="1"/>
  </cols>
  <sheetData>
    <row r="1" spans="1:10">
      <c r="A1" s="6" t="s">
        <v>255</v>
      </c>
      <c r="B1" s="7" t="s">
        <v>256</v>
      </c>
      <c r="C1" s="6" t="s">
        <v>257</v>
      </c>
      <c r="D1" s="6" t="s">
        <v>247</v>
      </c>
      <c r="E1" s="6" t="s">
        <v>245</v>
      </c>
      <c r="F1" s="6" t="s">
        <v>246</v>
      </c>
      <c r="G1" s="6" t="s">
        <v>258</v>
      </c>
      <c r="H1" s="6" t="s">
        <v>251</v>
      </c>
      <c r="I1" s="8" t="s">
        <v>259</v>
      </c>
      <c r="J1" s="4" t="s">
        <v>260</v>
      </c>
    </row>
    <row r="2" spans="1:10">
      <c r="A2" s="6" t="s">
        <v>261</v>
      </c>
      <c r="B2" s="6"/>
      <c r="C2" s="6" t="s">
        <v>208</v>
      </c>
      <c r="D2" s="6" t="s">
        <v>205</v>
      </c>
      <c r="E2" s="6" t="s">
        <v>0</v>
      </c>
      <c r="F2" s="6" t="s">
        <v>1</v>
      </c>
      <c r="G2" s="6" t="s">
        <v>262</v>
      </c>
      <c r="H2" s="6" t="s">
        <v>263</v>
      </c>
      <c r="I2" s="8" t="s">
        <v>264</v>
      </c>
      <c r="J2" s="2"/>
    </row>
    <row r="3" spans="1:10">
      <c r="A3" s="6" t="s">
        <v>261</v>
      </c>
      <c r="B3" s="6"/>
      <c r="C3" s="6" t="s">
        <v>208</v>
      </c>
      <c r="D3" s="6" t="s">
        <v>205</v>
      </c>
      <c r="E3" s="6" t="s">
        <v>265</v>
      </c>
      <c r="F3" s="6" t="s">
        <v>1</v>
      </c>
      <c r="G3" s="6" t="s">
        <v>266</v>
      </c>
      <c r="H3" s="6" t="s">
        <v>267</v>
      </c>
      <c r="I3" s="8" t="s">
        <v>264</v>
      </c>
      <c r="J3" s="2"/>
    </row>
    <row r="4" spans="1:10">
      <c r="A4" s="6" t="s">
        <v>261</v>
      </c>
      <c r="B4" s="6"/>
      <c r="C4" s="6" t="s">
        <v>208</v>
      </c>
      <c r="D4" s="6" t="s">
        <v>206</v>
      </c>
      <c r="E4" s="6" t="s">
        <v>2</v>
      </c>
      <c r="F4" s="6" t="s">
        <v>3</v>
      </c>
      <c r="G4" s="6" t="s">
        <v>262</v>
      </c>
      <c r="H4" s="6" t="s">
        <v>268</v>
      </c>
      <c r="I4" s="8" t="s">
        <v>269</v>
      </c>
      <c r="J4" s="2"/>
    </row>
    <row r="5" spans="1:10">
      <c r="A5" s="6" t="s">
        <v>261</v>
      </c>
      <c r="B5" s="6"/>
      <c r="C5" s="6" t="s">
        <v>208</v>
      </c>
      <c r="D5" s="6" t="s">
        <v>206</v>
      </c>
      <c r="E5" s="6" t="s">
        <v>270</v>
      </c>
      <c r="F5" s="6" t="s">
        <v>3</v>
      </c>
      <c r="G5" s="6" t="s">
        <v>266</v>
      </c>
      <c r="H5" s="6" t="s">
        <v>268</v>
      </c>
      <c r="I5" s="8" t="s">
        <v>269</v>
      </c>
      <c r="J5" s="2"/>
    </row>
    <row r="6" spans="1:10">
      <c r="A6" s="6" t="s">
        <v>261</v>
      </c>
      <c r="B6" s="6"/>
      <c r="C6" s="6" t="s">
        <v>209</v>
      </c>
      <c r="D6" s="6" t="s">
        <v>205</v>
      </c>
      <c r="E6" s="6" t="s">
        <v>4</v>
      </c>
      <c r="F6" s="6" t="s">
        <v>5</v>
      </c>
      <c r="G6" s="6" t="s">
        <v>266</v>
      </c>
      <c r="H6" s="6" t="s">
        <v>271</v>
      </c>
      <c r="I6" s="8" t="s">
        <v>269</v>
      </c>
      <c r="J6" s="2"/>
    </row>
    <row r="7" spans="1:10">
      <c r="A7" s="6" t="s">
        <v>261</v>
      </c>
      <c r="B7" s="6"/>
      <c r="C7" s="6" t="s">
        <v>209</v>
      </c>
      <c r="D7" s="6" t="s">
        <v>205</v>
      </c>
      <c r="E7" s="6" t="s">
        <v>272</v>
      </c>
      <c r="F7" s="6" t="s">
        <v>5</v>
      </c>
      <c r="G7" s="6" t="s">
        <v>262</v>
      </c>
      <c r="H7" s="6" t="s">
        <v>273</v>
      </c>
      <c r="I7" s="8" t="s">
        <v>269</v>
      </c>
      <c r="J7" s="2"/>
    </row>
    <row r="8" spans="1:10">
      <c r="A8" s="6" t="s">
        <v>261</v>
      </c>
      <c r="B8" s="6"/>
      <c r="C8" s="6" t="s">
        <v>209</v>
      </c>
      <c r="D8" s="6" t="s">
        <v>206</v>
      </c>
      <c r="E8" s="6" t="s">
        <v>6</v>
      </c>
      <c r="F8" s="6" t="s">
        <v>7</v>
      </c>
      <c r="G8" s="6" t="s">
        <v>262</v>
      </c>
      <c r="H8" s="6" t="s">
        <v>268</v>
      </c>
      <c r="I8" s="8" t="s">
        <v>269</v>
      </c>
      <c r="J8" s="2"/>
    </row>
    <row r="9" spans="1:10">
      <c r="A9" s="6" t="s">
        <v>261</v>
      </c>
      <c r="B9" s="6"/>
      <c r="C9" s="6" t="s">
        <v>209</v>
      </c>
      <c r="D9" s="6" t="s">
        <v>206</v>
      </c>
      <c r="E9" s="6" t="s">
        <v>274</v>
      </c>
      <c r="F9" s="6" t="s">
        <v>7</v>
      </c>
      <c r="G9" s="6" t="s">
        <v>266</v>
      </c>
      <c r="H9" s="6" t="s">
        <v>268</v>
      </c>
      <c r="I9" s="8" t="s">
        <v>269</v>
      </c>
      <c r="J9" s="2"/>
    </row>
    <row r="10" spans="1:10">
      <c r="A10" s="6" t="s">
        <v>261</v>
      </c>
      <c r="B10" s="6"/>
      <c r="C10" s="6" t="s">
        <v>209</v>
      </c>
      <c r="D10" s="6" t="s">
        <v>206</v>
      </c>
      <c r="E10" s="6" t="s">
        <v>8</v>
      </c>
      <c r="F10" s="6" t="s">
        <v>9</v>
      </c>
      <c r="G10" s="6" t="s">
        <v>262</v>
      </c>
      <c r="H10" s="6" t="s">
        <v>275</v>
      </c>
      <c r="I10" s="8" t="s">
        <v>264</v>
      </c>
      <c r="J10" s="2"/>
    </row>
    <row r="11" spans="1:10">
      <c r="A11" s="6" t="s">
        <v>261</v>
      </c>
      <c r="B11" s="6"/>
      <c r="C11" s="6" t="s">
        <v>209</v>
      </c>
      <c r="D11" s="6" t="s">
        <v>206</v>
      </c>
      <c r="E11" s="6" t="s">
        <v>276</v>
      </c>
      <c r="F11" s="6" t="s">
        <v>9</v>
      </c>
      <c r="G11" s="6" t="s">
        <v>266</v>
      </c>
      <c r="H11" s="6" t="s">
        <v>263</v>
      </c>
      <c r="I11" s="8" t="s">
        <v>264</v>
      </c>
      <c r="J11" s="2"/>
    </row>
    <row r="12" spans="1:10">
      <c r="A12" s="6" t="s">
        <v>211</v>
      </c>
      <c r="B12" s="6"/>
      <c r="C12" s="6" t="s">
        <v>208</v>
      </c>
      <c r="D12" s="6" t="s">
        <v>205</v>
      </c>
      <c r="E12" s="6" t="s">
        <v>10</v>
      </c>
      <c r="F12" s="6" t="s">
        <v>11</v>
      </c>
      <c r="G12" s="6" t="s">
        <v>262</v>
      </c>
      <c r="H12" s="6" t="s">
        <v>277</v>
      </c>
      <c r="I12" s="8" t="s">
        <v>269</v>
      </c>
      <c r="J12" s="2"/>
    </row>
    <row r="13" spans="1:10">
      <c r="A13" s="6" t="s">
        <v>211</v>
      </c>
      <c r="B13" s="6"/>
      <c r="C13" s="6" t="s">
        <v>208</v>
      </c>
      <c r="D13" s="6" t="s">
        <v>205</v>
      </c>
      <c r="E13" s="6" t="s">
        <v>278</v>
      </c>
      <c r="F13" s="6" t="s">
        <v>11</v>
      </c>
      <c r="G13" s="6" t="s">
        <v>266</v>
      </c>
      <c r="H13" s="6" t="s">
        <v>279</v>
      </c>
      <c r="I13" s="8" t="s">
        <v>264</v>
      </c>
      <c r="J13" s="2"/>
    </row>
    <row r="14" spans="1:10">
      <c r="A14" s="6" t="s">
        <v>211</v>
      </c>
      <c r="B14" s="6"/>
      <c r="C14" s="6" t="s">
        <v>208</v>
      </c>
      <c r="D14" s="6" t="s">
        <v>205</v>
      </c>
      <c r="E14" s="6" t="s">
        <v>12</v>
      </c>
      <c r="F14" s="6" t="s">
        <v>13</v>
      </c>
      <c r="G14" s="6" t="s">
        <v>262</v>
      </c>
      <c r="H14" s="6" t="s">
        <v>280</v>
      </c>
      <c r="I14" s="8" t="s">
        <v>269</v>
      </c>
      <c r="J14" s="2"/>
    </row>
    <row r="15" spans="1:10">
      <c r="A15" s="6" t="s">
        <v>211</v>
      </c>
      <c r="B15" s="6"/>
      <c r="C15" s="6" t="s">
        <v>208</v>
      </c>
      <c r="D15" s="6" t="s">
        <v>205</v>
      </c>
      <c r="E15" s="6" t="s">
        <v>281</v>
      </c>
      <c r="F15" s="6" t="s">
        <v>13</v>
      </c>
      <c r="G15" s="6" t="s">
        <v>266</v>
      </c>
      <c r="H15" s="6" t="s">
        <v>279</v>
      </c>
      <c r="I15" s="8" t="s">
        <v>264</v>
      </c>
      <c r="J15" s="2"/>
    </row>
    <row r="16" spans="1:10">
      <c r="A16" s="6" t="s">
        <v>211</v>
      </c>
      <c r="B16" s="7"/>
      <c r="C16" s="6" t="s">
        <v>208</v>
      </c>
      <c r="D16" s="6" t="s">
        <v>205</v>
      </c>
      <c r="E16" s="6" t="s">
        <v>14</v>
      </c>
      <c r="F16" s="6" t="s">
        <v>15</v>
      </c>
      <c r="G16" s="6" t="s">
        <v>266</v>
      </c>
      <c r="H16" s="6" t="s">
        <v>282</v>
      </c>
      <c r="I16" s="8" t="s">
        <v>269</v>
      </c>
      <c r="J16" s="2"/>
    </row>
    <row r="17" spans="1:10">
      <c r="A17" s="6" t="s">
        <v>212</v>
      </c>
      <c r="B17" s="7"/>
      <c r="C17" s="6" t="s">
        <v>208</v>
      </c>
      <c r="D17" s="6" t="s">
        <v>205</v>
      </c>
      <c r="E17" s="6" t="s">
        <v>16</v>
      </c>
      <c r="F17" s="6" t="s">
        <v>17</v>
      </c>
      <c r="G17" s="6" t="s">
        <v>262</v>
      </c>
      <c r="H17" s="6" t="s">
        <v>282</v>
      </c>
      <c r="I17" s="8" t="s">
        <v>269</v>
      </c>
      <c r="J17" s="2"/>
    </row>
    <row r="18" spans="1:10">
      <c r="A18" s="6" t="s">
        <v>212</v>
      </c>
      <c r="B18" s="7"/>
      <c r="C18" s="6" t="s">
        <v>208</v>
      </c>
      <c r="D18" s="6" t="s">
        <v>205</v>
      </c>
      <c r="E18" s="6" t="s">
        <v>18</v>
      </c>
      <c r="F18" s="6" t="s">
        <v>19</v>
      </c>
      <c r="G18" s="6" t="s">
        <v>262</v>
      </c>
      <c r="H18" s="6" t="s">
        <v>282</v>
      </c>
      <c r="I18" s="8" t="s">
        <v>269</v>
      </c>
      <c r="J18" s="2"/>
    </row>
    <row r="19" spans="1:10">
      <c r="A19" s="6" t="s">
        <v>211</v>
      </c>
      <c r="B19" s="6" t="s">
        <v>213</v>
      </c>
      <c r="C19" s="6" t="s">
        <v>209</v>
      </c>
      <c r="D19" s="6" t="s">
        <v>205</v>
      </c>
      <c r="E19" s="6" t="s">
        <v>20</v>
      </c>
      <c r="F19" s="6" t="s">
        <v>21</v>
      </c>
      <c r="G19" s="6" t="s">
        <v>266</v>
      </c>
      <c r="H19" s="6" t="s">
        <v>283</v>
      </c>
      <c r="I19" s="8" t="s">
        <v>264</v>
      </c>
      <c r="J19" s="2">
        <v>1</v>
      </c>
    </row>
    <row r="20" spans="1:10">
      <c r="A20" s="6" t="s">
        <v>211</v>
      </c>
      <c r="B20" s="6" t="s">
        <v>214</v>
      </c>
      <c r="C20" s="6" t="s">
        <v>209</v>
      </c>
      <c r="D20" s="6" t="s">
        <v>205</v>
      </c>
      <c r="E20" s="6" t="s">
        <v>22</v>
      </c>
      <c r="F20" s="6" t="s">
        <v>23</v>
      </c>
      <c r="G20" s="7" t="s">
        <v>266</v>
      </c>
      <c r="H20" s="6" t="s">
        <v>283</v>
      </c>
      <c r="I20" s="8" t="s">
        <v>264</v>
      </c>
      <c r="J20" s="2">
        <v>1</v>
      </c>
    </row>
    <row r="21" spans="1:10">
      <c r="A21" s="6" t="s">
        <v>211</v>
      </c>
      <c r="B21" s="7" t="s">
        <v>43</v>
      </c>
      <c r="C21" s="6" t="s">
        <v>209</v>
      </c>
      <c r="D21" s="6" t="s">
        <v>205</v>
      </c>
      <c r="E21" s="7" t="s">
        <v>24</v>
      </c>
      <c r="F21" s="6" t="s">
        <v>25</v>
      </c>
      <c r="G21" s="7" t="s">
        <v>266</v>
      </c>
      <c r="H21" s="6" t="s">
        <v>284</v>
      </c>
      <c r="I21" s="8"/>
      <c r="J21" s="2"/>
    </row>
    <row r="22" spans="1:10">
      <c r="A22" s="6" t="s">
        <v>211</v>
      </c>
      <c r="B22" s="6"/>
      <c r="C22" s="6" t="s">
        <v>209</v>
      </c>
      <c r="D22" s="6" t="s">
        <v>205</v>
      </c>
      <c r="E22" s="6" t="s">
        <v>26</v>
      </c>
      <c r="F22" s="6" t="s">
        <v>27</v>
      </c>
      <c r="G22" s="6" t="s">
        <v>262</v>
      </c>
      <c r="H22" s="6" t="s">
        <v>277</v>
      </c>
      <c r="I22" s="8" t="s">
        <v>269</v>
      </c>
      <c r="J22" s="2">
        <v>9</v>
      </c>
    </row>
    <row r="23" spans="1:10">
      <c r="A23" s="6" t="s">
        <v>211</v>
      </c>
      <c r="B23" s="6"/>
      <c r="C23" s="6" t="s">
        <v>209</v>
      </c>
      <c r="D23" s="6" t="s">
        <v>205</v>
      </c>
      <c r="E23" s="6" t="s">
        <v>285</v>
      </c>
      <c r="F23" s="6" t="s">
        <v>27</v>
      </c>
      <c r="G23" s="6" t="s">
        <v>266</v>
      </c>
      <c r="H23" s="6" t="s">
        <v>279</v>
      </c>
      <c r="I23" s="8" t="s">
        <v>264</v>
      </c>
      <c r="J23" s="2"/>
    </row>
    <row r="24" spans="1:10">
      <c r="A24" s="6" t="s">
        <v>211</v>
      </c>
      <c r="B24" s="6"/>
      <c r="C24" s="6" t="s">
        <v>209</v>
      </c>
      <c r="D24" s="6" t="s">
        <v>205</v>
      </c>
      <c r="E24" s="6" t="s">
        <v>28</v>
      </c>
      <c r="F24" s="6" t="s">
        <v>29</v>
      </c>
      <c r="G24" s="6" t="s">
        <v>262</v>
      </c>
      <c r="H24" s="6" t="s">
        <v>277</v>
      </c>
      <c r="I24" s="8" t="s">
        <v>269</v>
      </c>
      <c r="J24" s="2"/>
    </row>
    <row r="25" spans="1:10">
      <c r="A25" s="6" t="s">
        <v>211</v>
      </c>
      <c r="B25" s="6"/>
      <c r="C25" s="6" t="s">
        <v>209</v>
      </c>
      <c r="D25" s="6" t="s">
        <v>205</v>
      </c>
      <c r="E25" s="6" t="s">
        <v>286</v>
      </c>
      <c r="F25" s="6" t="s">
        <v>29</v>
      </c>
      <c r="G25" s="6" t="s">
        <v>266</v>
      </c>
      <c r="H25" s="6" t="s">
        <v>279</v>
      </c>
      <c r="I25" s="8" t="s">
        <v>264</v>
      </c>
      <c r="J25" s="2"/>
    </row>
    <row r="26" spans="1:10">
      <c r="A26" s="6" t="s">
        <v>212</v>
      </c>
      <c r="B26" s="7"/>
      <c r="C26" s="6" t="s">
        <v>209</v>
      </c>
      <c r="D26" s="6" t="s">
        <v>205</v>
      </c>
      <c r="E26" s="6" t="s">
        <v>30</v>
      </c>
      <c r="F26" s="6" t="s">
        <v>31</v>
      </c>
      <c r="G26" s="6" t="s">
        <v>262</v>
      </c>
      <c r="H26" s="6" t="s">
        <v>282</v>
      </c>
      <c r="I26" s="8" t="s">
        <v>269</v>
      </c>
      <c r="J26" s="2"/>
    </row>
    <row r="27" spans="1:10">
      <c r="A27" s="6" t="s">
        <v>212</v>
      </c>
      <c r="B27" s="7"/>
      <c r="C27" s="6" t="s">
        <v>209</v>
      </c>
      <c r="D27" s="6" t="s">
        <v>205</v>
      </c>
      <c r="E27" s="6" t="s">
        <v>32</v>
      </c>
      <c r="F27" s="6" t="s">
        <v>33</v>
      </c>
      <c r="G27" s="6" t="s">
        <v>262</v>
      </c>
      <c r="H27" s="6" t="s">
        <v>282</v>
      </c>
      <c r="I27" s="8" t="s">
        <v>269</v>
      </c>
      <c r="J27" s="2"/>
    </row>
    <row r="28" spans="1:10">
      <c r="A28" s="6" t="s">
        <v>212</v>
      </c>
      <c r="B28" s="7"/>
      <c r="C28" s="6" t="s">
        <v>210</v>
      </c>
      <c r="D28" s="6" t="s">
        <v>206</v>
      </c>
      <c r="E28" s="6" t="s">
        <v>34</v>
      </c>
      <c r="F28" s="6" t="s">
        <v>35</v>
      </c>
      <c r="G28" s="6" t="s">
        <v>262</v>
      </c>
      <c r="H28" s="6" t="s">
        <v>287</v>
      </c>
      <c r="I28" s="8" t="s">
        <v>264</v>
      </c>
      <c r="J28" s="2"/>
    </row>
    <row r="29" spans="1:10">
      <c r="A29" s="6" t="s">
        <v>211</v>
      </c>
      <c r="B29" s="6"/>
      <c r="C29" s="6" t="s">
        <v>208</v>
      </c>
      <c r="D29" s="6" t="s">
        <v>206</v>
      </c>
      <c r="E29" s="6" t="s">
        <v>36</v>
      </c>
      <c r="F29" s="6" t="s">
        <v>37</v>
      </c>
      <c r="G29" s="6" t="s">
        <v>266</v>
      </c>
      <c r="H29" s="6" t="s">
        <v>277</v>
      </c>
      <c r="I29" s="8" t="s">
        <v>269</v>
      </c>
      <c r="J29" s="2"/>
    </row>
    <row r="30" spans="1:10">
      <c r="A30" s="6" t="s">
        <v>211</v>
      </c>
      <c r="B30" s="6" t="s">
        <v>213</v>
      </c>
      <c r="C30" s="6" t="s">
        <v>208</v>
      </c>
      <c r="D30" s="6" t="s">
        <v>206</v>
      </c>
      <c r="E30" s="6" t="s">
        <v>38</v>
      </c>
      <c r="F30" s="6" t="s">
        <v>39</v>
      </c>
      <c r="G30" s="6" t="s">
        <v>266</v>
      </c>
      <c r="H30" s="6" t="s">
        <v>288</v>
      </c>
      <c r="I30" s="8" t="s">
        <v>264</v>
      </c>
      <c r="J30" s="2"/>
    </row>
    <row r="31" spans="1:10">
      <c r="A31" s="6" t="s">
        <v>211</v>
      </c>
      <c r="B31" s="6" t="s">
        <v>214</v>
      </c>
      <c r="C31" s="6" t="s">
        <v>208</v>
      </c>
      <c r="D31" s="6" t="s">
        <v>206</v>
      </c>
      <c r="E31" s="7" t="s">
        <v>40</v>
      </c>
      <c r="F31" s="6" t="s">
        <v>41</v>
      </c>
      <c r="G31" s="6" t="s">
        <v>266</v>
      </c>
      <c r="H31" s="7" t="s">
        <v>287</v>
      </c>
      <c r="I31" s="8" t="s">
        <v>264</v>
      </c>
      <c r="J31" s="2"/>
    </row>
    <row r="32" spans="1:10">
      <c r="A32" s="6" t="s">
        <v>211</v>
      </c>
      <c r="B32" s="7" t="s">
        <v>289</v>
      </c>
      <c r="C32" s="6" t="s">
        <v>208</v>
      </c>
      <c r="D32" s="6" t="s">
        <v>206</v>
      </c>
      <c r="E32" s="6" t="s">
        <v>42</v>
      </c>
      <c r="F32" s="6" t="s">
        <v>43</v>
      </c>
      <c r="G32" s="6" t="s">
        <v>266</v>
      </c>
      <c r="H32" s="6" t="s">
        <v>290</v>
      </c>
      <c r="I32" s="8" t="s">
        <v>269</v>
      </c>
      <c r="J32" s="2">
        <v>8</v>
      </c>
    </row>
    <row r="33" spans="1:10">
      <c r="A33" s="6" t="s">
        <v>211</v>
      </c>
      <c r="B33" s="7" t="s">
        <v>43</v>
      </c>
      <c r="C33" s="6" t="s">
        <v>208</v>
      </c>
      <c r="D33" s="6" t="s">
        <v>206</v>
      </c>
      <c r="E33" s="7" t="s">
        <v>44</v>
      </c>
      <c r="F33" s="6" t="s">
        <v>45</v>
      </c>
      <c r="G33" s="7" t="s">
        <v>266</v>
      </c>
      <c r="H33" s="6" t="s">
        <v>287</v>
      </c>
      <c r="I33" s="8" t="s">
        <v>264</v>
      </c>
      <c r="J33" s="2"/>
    </row>
    <row r="34" spans="1:10">
      <c r="A34" s="6" t="s">
        <v>211</v>
      </c>
      <c r="B34" s="7" t="s">
        <v>43</v>
      </c>
      <c r="C34" s="6" t="s">
        <v>208</v>
      </c>
      <c r="D34" s="6" t="s">
        <v>206</v>
      </c>
      <c r="E34" s="7" t="s">
        <v>46</v>
      </c>
      <c r="F34" s="6" t="s">
        <v>47</v>
      </c>
      <c r="G34" s="7" t="s">
        <v>266</v>
      </c>
      <c r="H34" s="6" t="s">
        <v>291</v>
      </c>
      <c r="I34" s="8" t="s">
        <v>264</v>
      </c>
      <c r="J34" s="2"/>
    </row>
    <row r="35" spans="1:10">
      <c r="A35" s="6" t="s">
        <v>212</v>
      </c>
      <c r="B35" s="7"/>
      <c r="C35" s="6" t="s">
        <v>208</v>
      </c>
      <c r="D35" s="6" t="s">
        <v>205</v>
      </c>
      <c r="E35" s="6" t="s">
        <v>229</v>
      </c>
      <c r="F35" s="6" t="s">
        <v>43</v>
      </c>
      <c r="G35" s="6" t="s">
        <v>266</v>
      </c>
      <c r="H35" s="6" t="s">
        <v>290</v>
      </c>
      <c r="I35" s="8" t="s">
        <v>269</v>
      </c>
      <c r="J35" s="2">
        <v>8</v>
      </c>
    </row>
    <row r="36" spans="1:10">
      <c r="A36" s="6" t="s">
        <v>212</v>
      </c>
      <c r="B36" s="7"/>
      <c r="C36" s="6" t="s">
        <v>208</v>
      </c>
      <c r="D36" s="6" t="s">
        <v>206</v>
      </c>
      <c r="E36" s="6" t="s">
        <v>48</v>
      </c>
      <c r="F36" s="6" t="s">
        <v>49</v>
      </c>
      <c r="G36" s="6" t="s">
        <v>262</v>
      </c>
      <c r="H36" s="6" t="s">
        <v>287</v>
      </c>
      <c r="I36" s="8" t="s">
        <v>264</v>
      </c>
      <c r="J36" s="2"/>
    </row>
    <row r="37" spans="1:10">
      <c r="A37" s="6" t="s">
        <v>212</v>
      </c>
      <c r="B37" s="7"/>
      <c r="C37" s="6" t="s">
        <v>208</v>
      </c>
      <c r="D37" s="6" t="s">
        <v>206</v>
      </c>
      <c r="E37" s="6" t="s">
        <v>50</v>
      </c>
      <c r="F37" s="6" t="s">
        <v>51</v>
      </c>
      <c r="G37" s="6" t="s">
        <v>262</v>
      </c>
      <c r="H37" s="6" t="s">
        <v>287</v>
      </c>
      <c r="I37" s="8" t="s">
        <v>264</v>
      </c>
      <c r="J37" s="2"/>
    </row>
    <row r="38" spans="1:10">
      <c r="A38" s="6" t="s">
        <v>211</v>
      </c>
      <c r="B38" s="6" t="s">
        <v>213</v>
      </c>
      <c r="C38" s="6" t="s">
        <v>209</v>
      </c>
      <c r="D38" s="6" t="s">
        <v>206</v>
      </c>
      <c r="E38" s="6" t="s">
        <v>52</v>
      </c>
      <c r="F38" s="6" t="s">
        <v>53</v>
      </c>
      <c r="G38" s="6" t="s">
        <v>266</v>
      </c>
      <c r="H38" s="6" t="s">
        <v>292</v>
      </c>
      <c r="I38" s="8" t="s">
        <v>264</v>
      </c>
      <c r="J38" s="2"/>
    </row>
    <row r="39" spans="1:10">
      <c r="A39" s="6" t="s">
        <v>211</v>
      </c>
      <c r="B39" s="6" t="s">
        <v>213</v>
      </c>
      <c r="C39" s="6" t="s">
        <v>209</v>
      </c>
      <c r="D39" s="6" t="s">
        <v>206</v>
      </c>
      <c r="E39" s="6" t="s">
        <v>54</v>
      </c>
      <c r="F39" s="6" t="s">
        <v>55</v>
      </c>
      <c r="G39" s="6" t="s">
        <v>266</v>
      </c>
      <c r="H39" s="6" t="s">
        <v>292</v>
      </c>
      <c r="I39" s="8" t="s">
        <v>264</v>
      </c>
      <c r="J39" s="2"/>
    </row>
    <row r="40" spans="1:10">
      <c r="A40" s="7" t="s">
        <v>211</v>
      </c>
      <c r="B40" s="6" t="s">
        <v>214</v>
      </c>
      <c r="C40" s="6" t="s">
        <v>209</v>
      </c>
      <c r="D40" s="6" t="s">
        <v>206</v>
      </c>
      <c r="E40" s="6" t="s">
        <v>293</v>
      </c>
      <c r="F40" s="6" t="s">
        <v>57</v>
      </c>
      <c r="G40" s="6" t="s">
        <v>266</v>
      </c>
      <c r="H40" s="6" t="s">
        <v>290</v>
      </c>
      <c r="I40" s="8" t="s">
        <v>264</v>
      </c>
      <c r="J40" s="2"/>
    </row>
    <row r="41" spans="1:10">
      <c r="A41" s="7" t="s">
        <v>211</v>
      </c>
      <c r="B41" s="6" t="s">
        <v>214</v>
      </c>
      <c r="C41" s="6" t="s">
        <v>209</v>
      </c>
      <c r="D41" s="6" t="s">
        <v>206</v>
      </c>
      <c r="E41" s="6" t="s">
        <v>294</v>
      </c>
      <c r="F41" s="6" t="s">
        <v>59</v>
      </c>
      <c r="G41" s="6" t="s">
        <v>266</v>
      </c>
      <c r="H41" s="7" t="s">
        <v>287</v>
      </c>
      <c r="I41" s="8" t="s">
        <v>264</v>
      </c>
      <c r="J41" s="2"/>
    </row>
    <row r="42" spans="1:10">
      <c r="A42" s="6" t="s">
        <v>211</v>
      </c>
      <c r="B42" s="7" t="s">
        <v>43</v>
      </c>
      <c r="C42" s="6" t="s">
        <v>209</v>
      </c>
      <c r="D42" s="6" t="s">
        <v>206</v>
      </c>
      <c r="E42" s="6" t="s">
        <v>295</v>
      </c>
      <c r="F42" s="6" t="s">
        <v>61</v>
      </c>
      <c r="G42" s="7" t="s">
        <v>266</v>
      </c>
      <c r="H42" s="7" t="s">
        <v>288</v>
      </c>
      <c r="I42" s="8" t="s">
        <v>264</v>
      </c>
      <c r="J42" s="2"/>
    </row>
    <row r="43" spans="1:10">
      <c r="A43" s="6" t="s">
        <v>211</v>
      </c>
      <c r="B43" s="7" t="s">
        <v>43</v>
      </c>
      <c r="C43" s="6" t="s">
        <v>209</v>
      </c>
      <c r="D43" s="6" t="s">
        <v>206</v>
      </c>
      <c r="E43" s="6" t="s">
        <v>296</v>
      </c>
      <c r="F43" s="6" t="s">
        <v>63</v>
      </c>
      <c r="G43" s="7" t="s">
        <v>266</v>
      </c>
      <c r="H43" s="6" t="s">
        <v>290</v>
      </c>
      <c r="I43" s="8" t="s">
        <v>269</v>
      </c>
      <c r="J43" s="2"/>
    </row>
    <row r="44" spans="1:10">
      <c r="A44" s="6" t="s">
        <v>212</v>
      </c>
      <c r="B44" s="7"/>
      <c r="C44" s="8" t="s">
        <v>209</v>
      </c>
      <c r="D44" s="8" t="s">
        <v>205</v>
      </c>
      <c r="E44" s="6" t="s">
        <v>64</v>
      </c>
      <c r="F44" s="6" t="s">
        <v>65</v>
      </c>
      <c r="G44" s="6"/>
      <c r="H44" s="6" t="s">
        <v>287</v>
      </c>
      <c r="I44" s="6" t="s">
        <v>264</v>
      </c>
      <c r="J44" s="6"/>
    </row>
    <row r="45" spans="1:10">
      <c r="A45" s="6" t="s">
        <v>212</v>
      </c>
      <c r="B45" s="7"/>
      <c r="C45" s="8" t="s">
        <v>209</v>
      </c>
      <c r="D45" s="8" t="s">
        <v>205</v>
      </c>
      <c r="E45" s="6" t="s">
        <v>228</v>
      </c>
      <c r="F45" s="6" t="s">
        <v>27</v>
      </c>
      <c r="G45" s="6" t="s">
        <v>262</v>
      </c>
      <c r="H45" s="6" t="s">
        <v>277</v>
      </c>
      <c r="I45" s="6" t="s">
        <v>269</v>
      </c>
      <c r="J45" s="6">
        <v>9</v>
      </c>
    </row>
    <row r="46" spans="1:10">
      <c r="A46" s="10" t="s">
        <v>212</v>
      </c>
      <c r="B46" s="11"/>
      <c r="C46" s="12" t="s">
        <v>209</v>
      </c>
      <c r="D46" s="12" t="s">
        <v>205</v>
      </c>
      <c r="E46" s="10" t="s">
        <v>66</v>
      </c>
      <c r="F46" s="10" t="s">
        <v>67</v>
      </c>
      <c r="G46" s="10"/>
      <c r="H46" s="10" t="s">
        <v>287</v>
      </c>
      <c r="I46" s="10" t="s">
        <v>264</v>
      </c>
      <c r="J46" s="10"/>
    </row>
    <row r="47" spans="1:10">
      <c r="A47" s="6" t="s">
        <v>212</v>
      </c>
      <c r="B47" s="7"/>
      <c r="C47" s="6" t="s">
        <v>210</v>
      </c>
      <c r="D47" s="6" t="s">
        <v>205</v>
      </c>
      <c r="E47" s="6" t="s">
        <v>68</v>
      </c>
      <c r="F47" s="10" t="s">
        <v>69</v>
      </c>
      <c r="G47" s="6"/>
      <c r="H47" s="6" t="s">
        <v>287</v>
      </c>
      <c r="I47" s="10" t="s">
        <v>264</v>
      </c>
      <c r="J47" s="6"/>
    </row>
    <row r="48" spans="1:10">
      <c r="A48" s="6" t="s">
        <v>212</v>
      </c>
      <c r="B48" s="7"/>
      <c r="C48" s="6" t="s">
        <v>210</v>
      </c>
      <c r="D48" s="6" t="s">
        <v>206</v>
      </c>
      <c r="E48" s="6" t="s">
        <v>70</v>
      </c>
      <c r="F48" s="10" t="s">
        <v>71</v>
      </c>
      <c r="G48" s="6"/>
      <c r="H48" s="6" t="s">
        <v>287</v>
      </c>
      <c r="I48" s="10" t="s">
        <v>264</v>
      </c>
      <c r="J48" s="6"/>
    </row>
    <row r="49" spans="1:10">
      <c r="A49" s="7" t="s">
        <v>215</v>
      </c>
      <c r="B49" s="7"/>
      <c r="C49" s="7" t="s">
        <v>208</v>
      </c>
      <c r="D49" s="7" t="s">
        <v>205</v>
      </c>
      <c r="E49" s="7" t="s">
        <v>72</v>
      </c>
      <c r="F49" s="10" t="s">
        <v>73</v>
      </c>
      <c r="G49" s="7" t="s">
        <v>262</v>
      </c>
      <c r="H49" s="7" t="s">
        <v>297</v>
      </c>
      <c r="I49" s="7" t="s">
        <v>269</v>
      </c>
      <c r="J49" s="7"/>
    </row>
    <row r="50" spans="1:10">
      <c r="A50" s="7" t="s">
        <v>215</v>
      </c>
      <c r="B50" s="7"/>
      <c r="C50" s="7" t="s">
        <v>208</v>
      </c>
      <c r="D50" s="7" t="s">
        <v>205</v>
      </c>
      <c r="E50" s="7" t="s">
        <v>74</v>
      </c>
      <c r="F50" s="10" t="s">
        <v>75</v>
      </c>
      <c r="G50" s="7" t="s">
        <v>266</v>
      </c>
      <c r="H50" s="7" t="s">
        <v>298</v>
      </c>
      <c r="I50" s="7" t="s">
        <v>264</v>
      </c>
      <c r="J50" s="7"/>
    </row>
    <row r="51" spans="1:10">
      <c r="A51" s="7" t="s">
        <v>215</v>
      </c>
      <c r="B51" s="7"/>
      <c r="C51" s="7" t="s">
        <v>208</v>
      </c>
      <c r="D51" s="7" t="s">
        <v>205</v>
      </c>
      <c r="E51" s="7" t="s">
        <v>76</v>
      </c>
      <c r="F51" s="10" t="s">
        <v>77</v>
      </c>
      <c r="G51" s="7" t="s">
        <v>262</v>
      </c>
      <c r="H51" s="7" t="s">
        <v>299</v>
      </c>
      <c r="I51" s="7" t="s">
        <v>264</v>
      </c>
      <c r="J51" s="7"/>
    </row>
    <row r="52" spans="1:10">
      <c r="A52" s="7" t="s">
        <v>215</v>
      </c>
      <c r="B52" s="7"/>
      <c r="C52" s="7" t="s">
        <v>208</v>
      </c>
      <c r="D52" s="7" t="s">
        <v>206</v>
      </c>
      <c r="E52" s="7" t="s">
        <v>78</v>
      </c>
      <c r="F52" s="10" t="s">
        <v>79</v>
      </c>
      <c r="G52" s="7" t="s">
        <v>266</v>
      </c>
      <c r="H52" s="7" t="s">
        <v>287</v>
      </c>
      <c r="I52" s="7" t="s">
        <v>264</v>
      </c>
      <c r="J52" s="7"/>
    </row>
    <row r="53" spans="1:10">
      <c r="A53" s="7" t="s">
        <v>215</v>
      </c>
      <c r="B53" s="7"/>
      <c r="C53" s="7" t="s">
        <v>208</v>
      </c>
      <c r="D53" s="7" t="s">
        <v>206</v>
      </c>
      <c r="E53" s="7" t="s">
        <v>80</v>
      </c>
      <c r="F53" s="10" t="s">
        <v>81</v>
      </c>
      <c r="G53" s="7" t="s">
        <v>266</v>
      </c>
      <c r="H53" s="7" t="s">
        <v>300</v>
      </c>
      <c r="I53" s="7" t="s">
        <v>269</v>
      </c>
      <c r="J53" s="7"/>
    </row>
    <row r="54" spans="1:10">
      <c r="A54" s="7" t="s">
        <v>215</v>
      </c>
      <c r="B54" s="2" t="s">
        <v>81</v>
      </c>
      <c r="C54" s="7" t="s">
        <v>208</v>
      </c>
      <c r="D54" s="7" t="s">
        <v>206</v>
      </c>
      <c r="E54" s="7" t="s">
        <v>82</v>
      </c>
      <c r="F54" s="10" t="s">
        <v>83</v>
      </c>
      <c r="G54" s="7" t="s">
        <v>266</v>
      </c>
      <c r="H54" s="7" t="s">
        <v>299</v>
      </c>
      <c r="I54" s="7" t="s">
        <v>264</v>
      </c>
      <c r="J54" s="7"/>
    </row>
    <row r="55" spans="1:10">
      <c r="A55" s="7" t="s">
        <v>215</v>
      </c>
      <c r="B55" s="7"/>
      <c r="C55" s="7" t="s">
        <v>209</v>
      </c>
      <c r="D55" s="7" t="s">
        <v>205</v>
      </c>
      <c r="E55" s="13" t="s">
        <v>84</v>
      </c>
      <c r="F55" s="10" t="s">
        <v>85</v>
      </c>
      <c r="G55" s="7" t="s">
        <v>262</v>
      </c>
      <c r="H55" s="7" t="s">
        <v>300</v>
      </c>
      <c r="I55" s="7" t="s">
        <v>269</v>
      </c>
      <c r="J55" s="7"/>
    </row>
    <row r="56" spans="1:10">
      <c r="A56" s="7" t="s">
        <v>215</v>
      </c>
      <c r="B56" s="7"/>
      <c r="C56" s="7" t="s">
        <v>209</v>
      </c>
      <c r="D56" s="7" t="s">
        <v>205</v>
      </c>
      <c r="E56" s="7" t="s">
        <v>86</v>
      </c>
      <c r="F56" s="10" t="s">
        <v>87</v>
      </c>
      <c r="G56" s="7" t="s">
        <v>266</v>
      </c>
      <c r="H56" s="7" t="s">
        <v>300</v>
      </c>
      <c r="I56" s="7" t="s">
        <v>269</v>
      </c>
      <c r="J56" s="7"/>
    </row>
    <row r="57" spans="1:10">
      <c r="A57" s="7" t="s">
        <v>215</v>
      </c>
      <c r="B57" s="2" t="s">
        <v>81</v>
      </c>
      <c r="C57" s="7" t="s">
        <v>209</v>
      </c>
      <c r="D57" s="7" t="s">
        <v>205</v>
      </c>
      <c r="E57" s="7" t="s">
        <v>88</v>
      </c>
      <c r="F57" s="10" t="s">
        <v>89</v>
      </c>
      <c r="G57" s="7" t="s">
        <v>266</v>
      </c>
      <c r="H57" s="7" t="s">
        <v>298</v>
      </c>
      <c r="I57" s="7" t="s">
        <v>264</v>
      </c>
      <c r="J57" s="7"/>
    </row>
    <row r="58" spans="1:10">
      <c r="A58" s="7" t="s">
        <v>215</v>
      </c>
      <c r="B58" s="2" t="s">
        <v>81</v>
      </c>
      <c r="C58" s="7" t="s">
        <v>209</v>
      </c>
      <c r="D58" s="7" t="s">
        <v>206</v>
      </c>
      <c r="E58" s="13" t="s">
        <v>90</v>
      </c>
      <c r="F58" s="10" t="s">
        <v>91</v>
      </c>
      <c r="G58" s="7" t="s">
        <v>266</v>
      </c>
      <c r="H58" s="7" t="s">
        <v>299</v>
      </c>
      <c r="I58" s="7" t="s">
        <v>264</v>
      </c>
      <c r="J58" s="7"/>
    </row>
    <row r="59" spans="1:10">
      <c r="A59" s="7" t="s">
        <v>215</v>
      </c>
      <c r="B59" s="14" t="s">
        <v>81</v>
      </c>
      <c r="C59" s="7" t="s">
        <v>209</v>
      </c>
      <c r="D59" s="7" t="s">
        <v>206</v>
      </c>
      <c r="E59" s="13" t="s">
        <v>92</v>
      </c>
      <c r="F59" s="10" t="s">
        <v>93</v>
      </c>
      <c r="G59" s="7" t="s">
        <v>262</v>
      </c>
      <c r="H59" s="7" t="s">
        <v>301</v>
      </c>
      <c r="I59" s="7" t="s">
        <v>269</v>
      </c>
      <c r="J59" s="7"/>
    </row>
    <row r="60" spans="1:10" ht="28">
      <c r="A60" s="15" t="s">
        <v>216</v>
      </c>
      <c r="B60" s="6"/>
      <c r="C60" s="16" t="s">
        <v>208</v>
      </c>
      <c r="D60" s="7" t="s">
        <v>205</v>
      </c>
      <c r="E60" s="13" t="s">
        <v>94</v>
      </c>
      <c r="F60" s="17" t="s">
        <v>95</v>
      </c>
      <c r="G60" s="7" t="s">
        <v>262</v>
      </c>
      <c r="H60" s="7" t="s">
        <v>302</v>
      </c>
      <c r="I60" s="7" t="s">
        <v>269</v>
      </c>
      <c r="J60" s="7"/>
    </row>
    <row r="61" spans="1:10" ht="28">
      <c r="A61" s="15" t="s">
        <v>216</v>
      </c>
      <c r="B61" s="6"/>
      <c r="C61" s="16" t="s">
        <v>208</v>
      </c>
      <c r="D61" s="7" t="s">
        <v>205</v>
      </c>
      <c r="E61" s="13" t="s">
        <v>96</v>
      </c>
      <c r="F61" s="17" t="s">
        <v>97</v>
      </c>
      <c r="G61" s="7" t="s">
        <v>262</v>
      </c>
      <c r="H61" s="7" t="s">
        <v>287</v>
      </c>
      <c r="I61" s="7" t="s">
        <v>264</v>
      </c>
      <c r="J61" s="7"/>
    </row>
    <row r="62" spans="1:10">
      <c r="A62" s="15" t="s">
        <v>216</v>
      </c>
      <c r="B62" s="6"/>
      <c r="C62" s="16" t="s">
        <v>208</v>
      </c>
      <c r="D62" s="7" t="s">
        <v>205</v>
      </c>
      <c r="E62" s="13" t="s">
        <v>98</v>
      </c>
      <c r="F62" s="10" t="s">
        <v>99</v>
      </c>
      <c r="G62" s="7" t="s">
        <v>262</v>
      </c>
      <c r="H62" s="7" t="s">
        <v>287</v>
      </c>
      <c r="I62" s="7" t="s">
        <v>264</v>
      </c>
      <c r="J62" s="7"/>
    </row>
    <row r="63" spans="1:10" ht="28">
      <c r="A63" s="15" t="s">
        <v>216</v>
      </c>
      <c r="B63" s="6"/>
      <c r="C63" s="16" t="s">
        <v>208</v>
      </c>
      <c r="D63" s="7" t="s">
        <v>206</v>
      </c>
      <c r="E63" s="13" t="s">
        <v>100</v>
      </c>
      <c r="F63" s="17" t="s">
        <v>101</v>
      </c>
      <c r="G63" s="7" t="s">
        <v>262</v>
      </c>
      <c r="H63" s="7" t="s">
        <v>287</v>
      </c>
      <c r="I63" s="7" t="s">
        <v>264</v>
      </c>
      <c r="J63" s="7"/>
    </row>
    <row r="64" spans="1:10">
      <c r="A64" s="15" t="s">
        <v>216</v>
      </c>
      <c r="B64" s="6"/>
      <c r="C64" s="16" t="s">
        <v>208</v>
      </c>
      <c r="D64" s="7" t="s">
        <v>206</v>
      </c>
      <c r="E64" s="13" t="s">
        <v>102</v>
      </c>
      <c r="F64" s="10" t="s">
        <v>103</v>
      </c>
      <c r="G64" s="7" t="s">
        <v>262</v>
      </c>
      <c r="H64" s="7" t="s">
        <v>287</v>
      </c>
      <c r="I64" s="7" t="s">
        <v>264</v>
      </c>
      <c r="J64" s="7"/>
    </row>
    <row r="65" spans="1:10">
      <c r="A65" s="15" t="s">
        <v>216</v>
      </c>
      <c r="B65" s="6"/>
      <c r="C65" s="16" t="s">
        <v>209</v>
      </c>
      <c r="D65" s="7" t="s">
        <v>205</v>
      </c>
      <c r="E65" s="13" t="s">
        <v>104</v>
      </c>
      <c r="F65" s="10" t="s">
        <v>105</v>
      </c>
      <c r="G65" s="7" t="s">
        <v>262</v>
      </c>
      <c r="H65" s="7" t="s">
        <v>287</v>
      </c>
      <c r="I65" s="7" t="s">
        <v>264</v>
      </c>
      <c r="J65" s="7"/>
    </row>
    <row r="66" spans="1:10">
      <c r="A66" s="15" t="s">
        <v>216</v>
      </c>
      <c r="B66" s="6"/>
      <c r="C66" s="16" t="s">
        <v>209</v>
      </c>
      <c r="D66" s="7" t="s">
        <v>205</v>
      </c>
      <c r="E66" s="13" t="s">
        <v>106</v>
      </c>
      <c r="F66" s="10" t="s">
        <v>107</v>
      </c>
      <c r="G66" s="7" t="s">
        <v>262</v>
      </c>
      <c r="H66" s="7" t="s">
        <v>302</v>
      </c>
      <c r="I66" s="7" t="s">
        <v>269</v>
      </c>
      <c r="J66" s="7"/>
    </row>
    <row r="67" spans="1:10">
      <c r="A67" s="15" t="s">
        <v>216</v>
      </c>
      <c r="B67" s="6"/>
      <c r="C67" s="16" t="s">
        <v>209</v>
      </c>
      <c r="D67" s="7" t="s">
        <v>205</v>
      </c>
      <c r="E67" s="13" t="s">
        <v>108</v>
      </c>
      <c r="F67" s="10" t="s">
        <v>109</v>
      </c>
      <c r="G67" s="7" t="s">
        <v>262</v>
      </c>
      <c r="H67" s="7" t="s">
        <v>287</v>
      </c>
      <c r="I67" s="7" t="s">
        <v>264</v>
      </c>
      <c r="J67" s="7"/>
    </row>
    <row r="68" spans="1:10">
      <c r="A68" s="15" t="s">
        <v>216</v>
      </c>
      <c r="B68" s="6"/>
      <c r="C68" s="16" t="s">
        <v>209</v>
      </c>
      <c r="D68" s="7" t="s">
        <v>206</v>
      </c>
      <c r="E68" s="13" t="s">
        <v>110</v>
      </c>
      <c r="F68" s="10" t="s">
        <v>111</v>
      </c>
      <c r="G68" s="7" t="s">
        <v>262</v>
      </c>
      <c r="H68" s="7" t="s">
        <v>287</v>
      </c>
      <c r="I68" s="7" t="s">
        <v>264</v>
      </c>
      <c r="J68" s="7"/>
    </row>
    <row r="69" spans="1:10">
      <c r="A69" s="15" t="s">
        <v>216</v>
      </c>
      <c r="B69" s="6"/>
      <c r="C69" s="16" t="s">
        <v>209</v>
      </c>
      <c r="D69" s="7" t="s">
        <v>206</v>
      </c>
      <c r="E69" s="13" t="s">
        <v>112</v>
      </c>
      <c r="F69" s="10" t="s">
        <v>113</v>
      </c>
      <c r="G69" s="7" t="s">
        <v>262</v>
      </c>
      <c r="H69" s="7" t="s">
        <v>287</v>
      </c>
      <c r="I69" s="7" t="s">
        <v>264</v>
      </c>
      <c r="J69" s="7"/>
    </row>
    <row r="70" spans="1:10">
      <c r="A70" s="15" t="s">
        <v>216</v>
      </c>
      <c r="B70" s="18"/>
      <c r="C70" s="16" t="s">
        <v>209</v>
      </c>
      <c r="D70" s="7" t="s">
        <v>206</v>
      </c>
      <c r="E70" s="13" t="s">
        <v>114</v>
      </c>
      <c r="F70" s="10" t="s">
        <v>115</v>
      </c>
      <c r="G70" s="7" t="s">
        <v>262</v>
      </c>
      <c r="H70" s="7" t="s">
        <v>287</v>
      </c>
      <c r="I70" s="7" t="s">
        <v>264</v>
      </c>
      <c r="J70" s="7"/>
    </row>
    <row r="71" spans="1:10">
      <c r="A71" s="7" t="s">
        <v>216</v>
      </c>
      <c r="B71" s="19"/>
      <c r="C71" s="7" t="s">
        <v>210</v>
      </c>
      <c r="D71" s="7"/>
      <c r="E71" s="13" t="s">
        <v>116</v>
      </c>
      <c r="F71" s="20" t="s">
        <v>117</v>
      </c>
      <c r="G71" s="7" t="s">
        <v>262</v>
      </c>
      <c r="H71" s="7" t="s">
        <v>287</v>
      </c>
      <c r="I71" s="7" t="s">
        <v>264</v>
      </c>
      <c r="J71" s="7"/>
    </row>
    <row r="72" spans="1:10">
      <c r="A72" s="7"/>
      <c r="B72" s="19"/>
      <c r="C72" s="7"/>
      <c r="D72" s="7"/>
      <c r="E72" s="13"/>
      <c r="F72" s="20"/>
      <c r="G72" s="7"/>
      <c r="H72" s="7"/>
      <c r="I72" s="15"/>
      <c r="J72" s="9"/>
    </row>
    <row r="73" spans="1:10">
      <c r="A73" s="6" t="s">
        <v>255</v>
      </c>
      <c r="B73" s="6"/>
      <c r="C73" s="6" t="s">
        <v>257</v>
      </c>
      <c r="D73" s="6"/>
      <c r="E73" s="6" t="s">
        <v>245</v>
      </c>
      <c r="F73" s="6" t="s">
        <v>246</v>
      </c>
      <c r="G73" s="6" t="s">
        <v>258</v>
      </c>
      <c r="H73" s="6" t="s">
        <v>251</v>
      </c>
      <c r="I73" s="8" t="s">
        <v>259</v>
      </c>
      <c r="J73" s="2"/>
    </row>
    <row r="74" spans="1:10">
      <c r="A74" s="6" t="s">
        <v>217</v>
      </c>
      <c r="B74" s="6"/>
      <c r="C74" s="6" t="s">
        <v>208</v>
      </c>
      <c r="D74" s="6" t="s">
        <v>207</v>
      </c>
      <c r="E74" s="6" t="s">
        <v>118</v>
      </c>
      <c r="F74" s="6" t="s">
        <v>119</v>
      </c>
      <c r="G74" s="6" t="s">
        <v>266</v>
      </c>
      <c r="H74" s="6" t="s">
        <v>303</v>
      </c>
      <c r="I74" s="8" t="s">
        <v>269</v>
      </c>
      <c r="J74" s="2">
        <v>2</v>
      </c>
    </row>
    <row r="75" spans="1:10">
      <c r="A75" s="6" t="s">
        <v>218</v>
      </c>
      <c r="B75" s="6"/>
      <c r="C75" s="6" t="s">
        <v>208</v>
      </c>
      <c r="D75" s="6" t="s">
        <v>207</v>
      </c>
      <c r="E75" s="6" t="s">
        <v>118</v>
      </c>
      <c r="F75" s="6" t="s">
        <v>119</v>
      </c>
      <c r="G75" s="6" t="s">
        <v>266</v>
      </c>
      <c r="H75" s="6" t="s">
        <v>303</v>
      </c>
      <c r="I75" s="8" t="s">
        <v>269</v>
      </c>
      <c r="J75" s="2">
        <v>2</v>
      </c>
    </row>
    <row r="76" spans="1:10">
      <c r="A76" s="6" t="s">
        <v>217</v>
      </c>
      <c r="B76" s="6"/>
      <c r="C76" s="6" t="s">
        <v>208</v>
      </c>
      <c r="D76" s="6" t="s">
        <v>207</v>
      </c>
      <c r="E76" s="10" t="s">
        <v>120</v>
      </c>
      <c r="F76" s="6" t="s">
        <v>63</v>
      </c>
      <c r="G76" s="6" t="s">
        <v>266</v>
      </c>
      <c r="H76" s="6" t="s">
        <v>291</v>
      </c>
      <c r="I76" s="8" t="s">
        <v>264</v>
      </c>
      <c r="J76" s="2">
        <v>3</v>
      </c>
    </row>
    <row r="77" spans="1:10">
      <c r="A77" s="6" t="s">
        <v>218</v>
      </c>
      <c r="B77" s="6"/>
      <c r="C77" s="6" t="s">
        <v>208</v>
      </c>
      <c r="D77" s="6" t="s">
        <v>207</v>
      </c>
      <c r="E77" s="10" t="s">
        <v>120</v>
      </c>
      <c r="F77" s="6" t="s">
        <v>63</v>
      </c>
      <c r="G77" s="6" t="s">
        <v>266</v>
      </c>
      <c r="H77" s="6" t="s">
        <v>291</v>
      </c>
      <c r="I77" s="8" t="s">
        <v>264</v>
      </c>
      <c r="J77" s="2">
        <v>3</v>
      </c>
    </row>
    <row r="78" spans="1:10">
      <c r="A78" s="6" t="s">
        <v>217</v>
      </c>
      <c r="B78" s="8"/>
      <c r="C78" s="8" t="s">
        <v>208</v>
      </c>
      <c r="D78" s="6" t="s">
        <v>207</v>
      </c>
      <c r="E78" s="6" t="s">
        <v>121</v>
      </c>
      <c r="F78" s="21" t="s">
        <v>122</v>
      </c>
      <c r="G78" s="6" t="s">
        <v>266</v>
      </c>
      <c r="H78" s="6" t="s">
        <v>304</v>
      </c>
      <c r="I78" s="8" t="s">
        <v>264</v>
      </c>
      <c r="J78" s="2"/>
    </row>
    <row r="79" spans="1:10">
      <c r="A79" s="6" t="s">
        <v>217</v>
      </c>
      <c r="B79" s="8"/>
      <c r="C79" s="8" t="s">
        <v>209</v>
      </c>
      <c r="D79" s="6" t="s">
        <v>207</v>
      </c>
      <c r="E79" s="6" t="s">
        <v>118</v>
      </c>
      <c r="F79" s="21" t="s">
        <v>119</v>
      </c>
      <c r="G79" s="6" t="s">
        <v>266</v>
      </c>
      <c r="H79" s="6" t="s">
        <v>303</v>
      </c>
      <c r="I79" s="8" t="s">
        <v>269</v>
      </c>
      <c r="J79" s="2">
        <v>4</v>
      </c>
    </row>
    <row r="80" spans="1:10">
      <c r="A80" s="6" t="s">
        <v>218</v>
      </c>
      <c r="B80" s="8"/>
      <c r="C80" s="8" t="s">
        <v>209</v>
      </c>
      <c r="D80" s="6" t="s">
        <v>207</v>
      </c>
      <c r="E80" s="6" t="s">
        <v>118</v>
      </c>
      <c r="F80" s="21" t="s">
        <v>119</v>
      </c>
      <c r="G80" s="6" t="s">
        <v>266</v>
      </c>
      <c r="H80" s="6" t="s">
        <v>303</v>
      </c>
      <c r="I80" s="8" t="s">
        <v>269</v>
      </c>
      <c r="J80" s="2">
        <v>4</v>
      </c>
    </row>
    <row r="81" spans="1:10" ht="15.5">
      <c r="A81" s="6" t="s">
        <v>217</v>
      </c>
      <c r="B81" s="8"/>
      <c r="C81" s="8" t="s">
        <v>209</v>
      </c>
      <c r="D81" s="6" t="s">
        <v>207</v>
      </c>
      <c r="E81" s="22" t="s">
        <v>123</v>
      </c>
      <c r="F81" s="21" t="s">
        <v>124</v>
      </c>
      <c r="G81" s="6" t="s">
        <v>266</v>
      </c>
      <c r="H81" s="6" t="s">
        <v>305</v>
      </c>
      <c r="I81" s="8" t="s">
        <v>264</v>
      </c>
      <c r="J81" s="2"/>
    </row>
    <row r="82" spans="1:10" ht="15.5">
      <c r="A82" s="6" t="s">
        <v>217</v>
      </c>
      <c r="B82" s="8"/>
      <c r="C82" s="8" t="s">
        <v>209</v>
      </c>
      <c r="D82" s="6" t="s">
        <v>207</v>
      </c>
      <c r="E82" s="23" t="s">
        <v>125</v>
      </c>
      <c r="F82" s="21" t="s">
        <v>126</v>
      </c>
      <c r="G82" s="6" t="s">
        <v>266</v>
      </c>
      <c r="H82" s="24" t="s">
        <v>306</v>
      </c>
      <c r="I82" s="8" t="s">
        <v>264</v>
      </c>
      <c r="J82" s="2"/>
    </row>
    <row r="83" spans="1:10">
      <c r="A83" s="6" t="s">
        <v>218</v>
      </c>
      <c r="B83" s="8"/>
      <c r="C83" s="8" t="s">
        <v>208</v>
      </c>
      <c r="D83" s="6" t="s">
        <v>207</v>
      </c>
      <c r="E83" s="25" t="s">
        <v>127</v>
      </c>
      <c r="F83" s="21" t="s">
        <v>128</v>
      </c>
      <c r="G83" s="6" t="s">
        <v>266</v>
      </c>
      <c r="H83" s="6" t="s">
        <v>305</v>
      </c>
      <c r="I83" s="8" t="s">
        <v>264</v>
      </c>
      <c r="J83" s="2"/>
    </row>
    <row r="84" spans="1:10">
      <c r="A84" s="6" t="s">
        <v>218</v>
      </c>
      <c r="B84" s="8"/>
      <c r="C84" s="8" t="s">
        <v>209</v>
      </c>
      <c r="D84" s="6" t="s">
        <v>207</v>
      </c>
      <c r="E84" s="6" t="s">
        <v>129</v>
      </c>
      <c r="F84" s="21" t="s">
        <v>130</v>
      </c>
      <c r="G84" s="6" t="s">
        <v>266</v>
      </c>
      <c r="H84" s="24" t="s">
        <v>306</v>
      </c>
      <c r="I84" s="8" t="s">
        <v>264</v>
      </c>
      <c r="J84" s="2"/>
    </row>
    <row r="85" spans="1:10">
      <c r="A85" s="6" t="s">
        <v>218</v>
      </c>
      <c r="B85" s="8"/>
      <c r="C85" s="8" t="s">
        <v>209</v>
      </c>
      <c r="D85" s="6" t="s">
        <v>207</v>
      </c>
      <c r="E85" s="6" t="s">
        <v>131</v>
      </c>
      <c r="F85" s="21" t="s">
        <v>132</v>
      </c>
      <c r="G85" s="6" t="s">
        <v>266</v>
      </c>
      <c r="H85" s="6" t="s">
        <v>287</v>
      </c>
      <c r="I85" s="8" t="s">
        <v>264</v>
      </c>
      <c r="J85" s="2"/>
    </row>
    <row r="86" spans="1:10" ht="15.5">
      <c r="A86" s="6" t="s">
        <v>219</v>
      </c>
      <c r="B86" s="8"/>
      <c r="C86" s="6" t="s">
        <v>208</v>
      </c>
      <c r="D86" s="6" t="s">
        <v>207</v>
      </c>
      <c r="E86" s="26" t="s">
        <v>133</v>
      </c>
      <c r="F86" s="21" t="s">
        <v>134</v>
      </c>
      <c r="G86" s="6" t="s">
        <v>266</v>
      </c>
      <c r="H86" s="6" t="s">
        <v>303</v>
      </c>
      <c r="I86" s="8" t="s">
        <v>269</v>
      </c>
      <c r="J86" s="2">
        <v>2</v>
      </c>
    </row>
    <row r="87" spans="1:10" ht="15.5">
      <c r="A87" s="6" t="s">
        <v>219</v>
      </c>
      <c r="B87" s="8"/>
      <c r="C87" s="6" t="s">
        <v>209</v>
      </c>
      <c r="D87" s="6" t="s">
        <v>207</v>
      </c>
      <c r="E87" s="26" t="s">
        <v>133</v>
      </c>
      <c r="F87" s="21" t="s">
        <v>134</v>
      </c>
      <c r="G87" s="6" t="s">
        <v>266</v>
      </c>
      <c r="H87" s="6" t="s">
        <v>303</v>
      </c>
      <c r="I87" s="8" t="s">
        <v>269</v>
      </c>
      <c r="J87" s="2">
        <v>4</v>
      </c>
    </row>
    <row r="88" spans="1:10">
      <c r="A88" s="6" t="s">
        <v>219</v>
      </c>
      <c r="B88" s="6"/>
      <c r="C88" s="6" t="s">
        <v>208</v>
      </c>
      <c r="D88" s="6" t="s">
        <v>207</v>
      </c>
      <c r="E88" s="18" t="s">
        <v>135</v>
      </c>
      <c r="F88" s="21" t="s">
        <v>136</v>
      </c>
      <c r="G88" s="6" t="s">
        <v>266</v>
      </c>
      <c r="H88" s="6" t="s">
        <v>290</v>
      </c>
      <c r="I88" s="8" t="s">
        <v>269</v>
      </c>
      <c r="J88" s="2"/>
    </row>
    <row r="89" spans="1:10">
      <c r="A89" s="6" t="s">
        <v>219</v>
      </c>
      <c r="B89" s="6"/>
      <c r="C89" s="6" t="s">
        <v>208</v>
      </c>
      <c r="D89" s="6" t="s">
        <v>207</v>
      </c>
      <c r="E89" s="27" t="s">
        <v>137</v>
      </c>
      <c r="F89" s="21" t="s">
        <v>138</v>
      </c>
      <c r="G89" s="6" t="s">
        <v>266</v>
      </c>
      <c r="H89" s="6" t="s">
        <v>283</v>
      </c>
      <c r="I89" s="8" t="s">
        <v>264</v>
      </c>
      <c r="J89" s="2"/>
    </row>
    <row r="90" spans="1:10">
      <c r="A90" s="6" t="s">
        <v>219</v>
      </c>
      <c r="B90" s="6"/>
      <c r="C90" s="6" t="s">
        <v>209</v>
      </c>
      <c r="D90" s="6" t="s">
        <v>207</v>
      </c>
      <c r="E90" s="6" t="s">
        <v>139</v>
      </c>
      <c r="F90" s="21" t="s">
        <v>140</v>
      </c>
      <c r="G90" s="6" t="s">
        <v>266</v>
      </c>
      <c r="H90" s="6" t="s">
        <v>306</v>
      </c>
      <c r="I90" s="8" t="s">
        <v>264</v>
      </c>
      <c r="J90" s="2"/>
    </row>
    <row r="91" spans="1:10">
      <c r="A91" s="10" t="s">
        <v>219</v>
      </c>
      <c r="B91" s="10"/>
      <c r="C91" s="10" t="s">
        <v>209</v>
      </c>
      <c r="D91" s="6" t="s">
        <v>207</v>
      </c>
      <c r="E91" s="10" t="s">
        <v>141</v>
      </c>
      <c r="F91" s="21" t="s">
        <v>142</v>
      </c>
      <c r="G91" s="10" t="s">
        <v>266</v>
      </c>
      <c r="H91" s="10" t="s">
        <v>290</v>
      </c>
      <c r="I91" s="12" t="s">
        <v>269</v>
      </c>
      <c r="J91" s="14"/>
    </row>
    <row r="92" spans="1:10">
      <c r="A92" s="6" t="s">
        <v>220</v>
      </c>
      <c r="B92" s="6"/>
      <c r="C92" s="6" t="s">
        <v>208</v>
      </c>
      <c r="D92" s="6" t="s">
        <v>207</v>
      </c>
      <c r="E92" s="6" t="s">
        <v>143</v>
      </c>
      <c r="F92" s="21" t="s">
        <v>144</v>
      </c>
      <c r="G92" s="6" t="s">
        <v>266</v>
      </c>
      <c r="H92" s="6" t="s">
        <v>307</v>
      </c>
      <c r="I92" s="6" t="s">
        <v>264</v>
      </c>
      <c r="J92" s="6"/>
    </row>
    <row r="93" spans="1:10">
      <c r="A93" s="6" t="s">
        <v>221</v>
      </c>
      <c r="B93" s="6"/>
      <c r="C93" s="6" t="s">
        <v>208</v>
      </c>
      <c r="D93" s="6" t="s">
        <v>207</v>
      </c>
      <c r="E93" s="6" t="s">
        <v>145</v>
      </c>
      <c r="F93" s="21" t="s">
        <v>146</v>
      </c>
      <c r="G93" s="6" t="s">
        <v>266</v>
      </c>
      <c r="H93" s="6" t="s">
        <v>300</v>
      </c>
      <c r="I93" s="6" t="s">
        <v>269</v>
      </c>
      <c r="J93" s="6">
        <v>5</v>
      </c>
    </row>
    <row r="94" spans="1:10">
      <c r="A94" s="6" t="s">
        <v>220</v>
      </c>
      <c r="B94" s="6"/>
      <c r="C94" s="6" t="s">
        <v>208</v>
      </c>
      <c r="D94" s="6" t="s">
        <v>207</v>
      </c>
      <c r="E94" s="6" t="s">
        <v>145</v>
      </c>
      <c r="F94" s="21" t="s">
        <v>146</v>
      </c>
      <c r="G94" s="6" t="s">
        <v>266</v>
      </c>
      <c r="H94" s="6" t="s">
        <v>300</v>
      </c>
      <c r="I94" s="6" t="s">
        <v>269</v>
      </c>
      <c r="J94" s="6">
        <v>5</v>
      </c>
    </row>
    <row r="95" spans="1:10">
      <c r="A95" s="6" t="s">
        <v>221</v>
      </c>
      <c r="B95" s="6"/>
      <c r="C95" s="6" t="s">
        <v>208</v>
      </c>
      <c r="D95" s="6" t="s">
        <v>207</v>
      </c>
      <c r="E95" s="6" t="s">
        <v>147</v>
      </c>
      <c r="F95" s="21" t="s">
        <v>148</v>
      </c>
      <c r="G95" s="6" t="s">
        <v>266</v>
      </c>
      <c r="H95" s="6" t="s">
        <v>308</v>
      </c>
      <c r="I95" s="6" t="s">
        <v>264</v>
      </c>
      <c r="J95" s="6">
        <v>6</v>
      </c>
    </row>
    <row r="96" spans="1:10">
      <c r="A96" s="6" t="s">
        <v>220</v>
      </c>
      <c r="B96" s="6"/>
      <c r="C96" s="6" t="s">
        <v>208</v>
      </c>
      <c r="D96" s="6" t="s">
        <v>207</v>
      </c>
      <c r="E96" s="6" t="s">
        <v>147</v>
      </c>
      <c r="F96" s="21" t="s">
        <v>148</v>
      </c>
      <c r="G96" s="6" t="s">
        <v>266</v>
      </c>
      <c r="H96" s="6" t="s">
        <v>308</v>
      </c>
      <c r="I96" s="6" t="s">
        <v>264</v>
      </c>
      <c r="J96" s="6">
        <v>6</v>
      </c>
    </row>
    <row r="97" spans="1:10">
      <c r="A97" s="10" t="s">
        <v>220</v>
      </c>
      <c r="B97" s="10"/>
      <c r="C97" s="10" t="s">
        <v>208</v>
      </c>
      <c r="D97" s="6" t="s">
        <v>207</v>
      </c>
      <c r="E97" s="10" t="s">
        <v>149</v>
      </c>
      <c r="F97" s="21" t="s">
        <v>150</v>
      </c>
      <c r="G97" s="10" t="s">
        <v>266</v>
      </c>
      <c r="H97" s="10" t="s">
        <v>307</v>
      </c>
      <c r="I97" s="10" t="s">
        <v>264</v>
      </c>
      <c r="J97" s="10"/>
    </row>
    <row r="98" spans="1:10">
      <c r="A98" s="6" t="s">
        <v>220</v>
      </c>
      <c r="B98" s="6"/>
      <c r="C98" s="6" t="s">
        <v>209</v>
      </c>
      <c r="D98" s="6" t="s">
        <v>207</v>
      </c>
      <c r="E98" s="6" t="s">
        <v>151</v>
      </c>
      <c r="F98" s="21" t="s">
        <v>152</v>
      </c>
      <c r="G98" s="6" t="s">
        <v>266</v>
      </c>
      <c r="H98" s="6" t="s">
        <v>307</v>
      </c>
      <c r="I98" s="6" t="s">
        <v>264</v>
      </c>
      <c r="J98" s="6"/>
    </row>
    <row r="99" spans="1:10">
      <c r="A99" s="6" t="s">
        <v>221</v>
      </c>
      <c r="B99" s="6"/>
      <c r="C99" s="6" t="s">
        <v>209</v>
      </c>
      <c r="D99" s="6" t="s">
        <v>207</v>
      </c>
      <c r="E99" s="6" t="s">
        <v>145</v>
      </c>
      <c r="F99" s="21" t="s">
        <v>146</v>
      </c>
      <c r="G99" s="6" t="s">
        <v>266</v>
      </c>
      <c r="H99" s="6" t="s">
        <v>300</v>
      </c>
      <c r="I99" s="6" t="s">
        <v>269</v>
      </c>
      <c r="J99" s="6">
        <v>7</v>
      </c>
    </row>
    <row r="100" spans="1:10">
      <c r="A100" s="6" t="s">
        <v>222</v>
      </c>
      <c r="B100" s="6"/>
      <c r="C100" s="6" t="s">
        <v>209</v>
      </c>
      <c r="D100" s="6" t="s">
        <v>207</v>
      </c>
      <c r="E100" s="6" t="s">
        <v>145</v>
      </c>
      <c r="F100" s="21" t="s">
        <v>146</v>
      </c>
      <c r="G100" s="6" t="s">
        <v>266</v>
      </c>
      <c r="H100" s="6" t="s">
        <v>300</v>
      </c>
      <c r="I100" s="6" t="s">
        <v>269</v>
      </c>
      <c r="J100" s="6">
        <v>7</v>
      </c>
    </row>
    <row r="101" spans="1:10">
      <c r="A101" s="6" t="s">
        <v>220</v>
      </c>
      <c r="B101" s="6"/>
      <c r="C101" s="6" t="s">
        <v>209</v>
      </c>
      <c r="D101" s="6" t="s">
        <v>207</v>
      </c>
      <c r="E101" s="6" t="s">
        <v>153</v>
      </c>
      <c r="F101" s="21" t="s">
        <v>154</v>
      </c>
      <c r="G101" s="6" t="s">
        <v>266</v>
      </c>
      <c r="H101" s="6" t="s">
        <v>307</v>
      </c>
      <c r="I101" s="6" t="s">
        <v>264</v>
      </c>
      <c r="J101" s="6"/>
    </row>
    <row r="102" spans="1:10">
      <c r="A102" s="6" t="s">
        <v>221</v>
      </c>
      <c r="B102" s="6"/>
      <c r="C102" s="6" t="s">
        <v>208</v>
      </c>
      <c r="D102" s="6" t="s">
        <v>207</v>
      </c>
      <c r="E102" s="6" t="s">
        <v>155</v>
      </c>
      <c r="F102" s="21" t="s">
        <v>156</v>
      </c>
      <c r="G102" s="6" t="s">
        <v>266</v>
      </c>
      <c r="H102" s="6" t="s">
        <v>301</v>
      </c>
      <c r="I102" s="6" t="s">
        <v>269</v>
      </c>
      <c r="J102" s="6"/>
    </row>
    <row r="103" spans="1:10">
      <c r="A103" s="31" t="s">
        <v>221</v>
      </c>
      <c r="B103" s="31"/>
      <c r="C103" s="31" t="s">
        <v>209</v>
      </c>
      <c r="D103" s="31" t="s">
        <v>207</v>
      </c>
      <c r="E103" s="31" t="s">
        <v>157</v>
      </c>
      <c r="F103" s="28" t="s">
        <v>309</v>
      </c>
      <c r="G103" s="31" t="s">
        <v>266</v>
      </c>
      <c r="H103" s="31" t="s">
        <v>300</v>
      </c>
      <c r="I103" s="31" t="s">
        <v>269</v>
      </c>
      <c r="J103" s="31"/>
    </row>
    <row r="104" spans="1:10">
      <c r="A104" s="32"/>
      <c r="B104" s="32"/>
      <c r="C104" s="32"/>
      <c r="D104" s="32"/>
      <c r="E104" s="32"/>
      <c r="F104" s="29" t="s">
        <v>310</v>
      </c>
      <c r="G104" s="32"/>
      <c r="H104" s="32"/>
      <c r="I104" s="32"/>
      <c r="J104" s="32"/>
    </row>
    <row r="105" spans="1:10">
      <c r="A105" s="6" t="s">
        <v>221</v>
      </c>
      <c r="B105" s="6"/>
      <c r="C105" s="6" t="s">
        <v>209</v>
      </c>
      <c r="D105" s="6" t="s">
        <v>207</v>
      </c>
      <c r="E105" s="6" t="s">
        <v>158</v>
      </c>
      <c r="F105" s="21" t="s">
        <v>159</v>
      </c>
      <c r="G105" s="6" t="s">
        <v>266</v>
      </c>
      <c r="H105" s="6" t="s">
        <v>301</v>
      </c>
      <c r="I105" s="6" t="s">
        <v>269</v>
      </c>
      <c r="J105" s="6"/>
    </row>
    <row r="106" spans="1:10">
      <c r="A106" s="6" t="s">
        <v>223</v>
      </c>
      <c r="B106" s="6"/>
      <c r="C106" s="6" t="s">
        <v>208</v>
      </c>
      <c r="D106" s="6" t="s">
        <v>207</v>
      </c>
      <c r="E106" s="6" t="s">
        <v>160</v>
      </c>
      <c r="F106" s="21" t="s">
        <v>148</v>
      </c>
      <c r="G106" s="6" t="s">
        <v>266</v>
      </c>
      <c r="H106" s="6" t="s">
        <v>300</v>
      </c>
      <c r="I106" s="6" t="s">
        <v>269</v>
      </c>
      <c r="J106" s="6"/>
    </row>
    <row r="107" spans="1:10">
      <c r="A107" s="6" t="s">
        <v>223</v>
      </c>
      <c r="B107" s="6"/>
      <c r="C107" s="6" t="s">
        <v>208</v>
      </c>
      <c r="D107" s="6" t="s">
        <v>207</v>
      </c>
      <c r="E107" s="6" t="s">
        <v>161</v>
      </c>
      <c r="F107" s="21" t="s">
        <v>162</v>
      </c>
      <c r="G107" s="6" t="s">
        <v>266</v>
      </c>
      <c r="H107" s="6" t="s">
        <v>300</v>
      </c>
      <c r="I107" s="6" t="s">
        <v>269</v>
      </c>
      <c r="J107" s="6"/>
    </row>
    <row r="108" spans="1:10">
      <c r="A108" s="6" t="s">
        <v>223</v>
      </c>
      <c r="B108" s="6"/>
      <c r="C108" s="6" t="s">
        <v>208</v>
      </c>
      <c r="D108" s="6" t="s">
        <v>207</v>
      </c>
      <c r="E108" s="6" t="s">
        <v>163</v>
      </c>
      <c r="F108" s="21" t="s">
        <v>164</v>
      </c>
      <c r="G108" s="6" t="s">
        <v>266</v>
      </c>
      <c r="H108" s="6" t="s">
        <v>301</v>
      </c>
      <c r="I108" s="6" t="s">
        <v>269</v>
      </c>
      <c r="J108" s="6"/>
    </row>
    <row r="109" spans="1:10">
      <c r="A109" s="6" t="s">
        <v>223</v>
      </c>
      <c r="B109" s="6"/>
      <c r="C109" s="6" t="s">
        <v>209</v>
      </c>
      <c r="D109" s="6" t="s">
        <v>207</v>
      </c>
      <c r="E109" s="6" t="s">
        <v>165</v>
      </c>
      <c r="F109" s="21" t="s">
        <v>166</v>
      </c>
      <c r="G109" s="6" t="s">
        <v>266</v>
      </c>
      <c r="H109" s="6" t="s">
        <v>300</v>
      </c>
      <c r="I109" s="6" t="s">
        <v>269</v>
      </c>
      <c r="J109" s="6"/>
    </row>
    <row r="110" spans="1:10">
      <c r="A110" s="6" t="s">
        <v>223</v>
      </c>
      <c r="B110" s="6"/>
      <c r="C110" s="6" t="s">
        <v>209</v>
      </c>
      <c r="D110" s="6" t="s">
        <v>207</v>
      </c>
      <c r="E110" s="6" t="s">
        <v>167</v>
      </c>
      <c r="F110" s="21" t="s">
        <v>168</v>
      </c>
      <c r="G110" s="6" t="s">
        <v>266</v>
      </c>
      <c r="H110" s="6" t="s">
        <v>301</v>
      </c>
      <c r="I110" s="6" t="s">
        <v>269</v>
      </c>
      <c r="J110" s="6"/>
    </row>
    <row r="111" spans="1:10">
      <c r="A111" s="10" t="s">
        <v>223</v>
      </c>
      <c r="B111" s="10"/>
      <c r="C111" s="10" t="s">
        <v>209</v>
      </c>
      <c r="D111" s="6" t="s">
        <v>207</v>
      </c>
      <c r="E111" s="10" t="s">
        <v>169</v>
      </c>
      <c r="F111" s="10" t="s">
        <v>170</v>
      </c>
      <c r="G111" s="10" t="s">
        <v>266</v>
      </c>
      <c r="H111" s="10" t="s">
        <v>300</v>
      </c>
      <c r="I111" s="10" t="s">
        <v>269</v>
      </c>
      <c r="J111" s="10"/>
    </row>
    <row r="112" spans="1:10">
      <c r="A112" s="6" t="s">
        <v>224</v>
      </c>
      <c r="B112" s="6"/>
      <c r="C112" s="6" t="s">
        <v>208</v>
      </c>
      <c r="D112" s="6" t="s">
        <v>207</v>
      </c>
      <c r="E112" s="6" t="s">
        <v>171</v>
      </c>
      <c r="F112" s="6" t="s">
        <v>172</v>
      </c>
      <c r="G112" s="6" t="s">
        <v>266</v>
      </c>
      <c r="H112" s="6" t="s">
        <v>311</v>
      </c>
      <c r="I112" s="6" t="s">
        <v>269</v>
      </c>
      <c r="J112" s="6"/>
    </row>
    <row r="113" spans="1:10">
      <c r="A113" s="6" t="s">
        <v>224</v>
      </c>
      <c r="B113" s="6"/>
      <c r="C113" s="6" t="s">
        <v>208</v>
      </c>
      <c r="D113" s="6" t="s">
        <v>207</v>
      </c>
      <c r="E113" s="6" t="s">
        <v>173</v>
      </c>
      <c r="F113" s="6" t="s">
        <v>174</v>
      </c>
      <c r="G113" s="6" t="s">
        <v>266</v>
      </c>
      <c r="H113" s="6" t="s">
        <v>287</v>
      </c>
      <c r="I113" s="6" t="s">
        <v>264</v>
      </c>
      <c r="J113" s="6"/>
    </row>
    <row r="114" spans="1:10">
      <c r="A114" s="31" t="s">
        <v>224</v>
      </c>
      <c r="B114" s="31"/>
      <c r="C114" s="31" t="s">
        <v>208</v>
      </c>
      <c r="D114" s="31" t="s">
        <v>207</v>
      </c>
      <c r="E114" s="31" t="s">
        <v>175</v>
      </c>
      <c r="F114" s="17" t="s">
        <v>176</v>
      </c>
      <c r="G114" s="31" t="s">
        <v>266</v>
      </c>
      <c r="H114" s="31" t="s">
        <v>287</v>
      </c>
      <c r="I114" s="31" t="s">
        <v>264</v>
      </c>
      <c r="J114" s="31"/>
    </row>
    <row r="115" spans="1:10">
      <c r="A115" s="32"/>
      <c r="B115" s="32"/>
      <c r="C115" s="32"/>
      <c r="D115" s="32"/>
      <c r="E115" s="32"/>
      <c r="F115" s="30" t="s">
        <v>177</v>
      </c>
      <c r="G115" s="32"/>
      <c r="H115" s="32"/>
      <c r="I115" s="32"/>
      <c r="J115" s="32"/>
    </row>
    <row r="116" spans="1:10">
      <c r="A116" s="10" t="s">
        <v>224</v>
      </c>
      <c r="B116" s="10"/>
      <c r="C116" s="10" t="s">
        <v>209</v>
      </c>
      <c r="D116" s="10" t="s">
        <v>207</v>
      </c>
      <c r="E116" s="10" t="s">
        <v>178</v>
      </c>
      <c r="F116" s="10" t="s">
        <v>179</v>
      </c>
      <c r="G116" s="10" t="s">
        <v>266</v>
      </c>
      <c r="H116" s="10" t="s">
        <v>311</v>
      </c>
      <c r="I116" s="6" t="s">
        <v>269</v>
      </c>
      <c r="J116" s="10"/>
    </row>
    <row r="117" spans="1:10" ht="28">
      <c r="A117" s="2" t="s">
        <v>224</v>
      </c>
      <c r="B117" s="2"/>
      <c r="C117" s="2" t="s">
        <v>209</v>
      </c>
      <c r="D117" s="2" t="s">
        <v>207</v>
      </c>
      <c r="E117" s="2" t="s">
        <v>180</v>
      </c>
      <c r="F117" s="3" t="s">
        <v>181</v>
      </c>
      <c r="G117" s="2" t="s">
        <v>266</v>
      </c>
      <c r="H117" s="2" t="s">
        <v>287</v>
      </c>
      <c r="I117" s="6" t="s">
        <v>264</v>
      </c>
      <c r="J117" s="2"/>
    </row>
    <row r="118" spans="1:10">
      <c r="A118" s="2" t="s">
        <v>225</v>
      </c>
      <c r="B118" s="2"/>
      <c r="C118" s="2" t="s">
        <v>208</v>
      </c>
      <c r="D118" s="2" t="s">
        <v>205</v>
      </c>
      <c r="E118" s="1" t="s">
        <v>240</v>
      </c>
      <c r="F118" s="2" t="s">
        <v>182</v>
      </c>
      <c r="G118" s="2" t="s">
        <v>266</v>
      </c>
      <c r="H118" s="2" t="s">
        <v>287</v>
      </c>
      <c r="I118" s="6" t="s">
        <v>264</v>
      </c>
      <c r="J118" s="2"/>
    </row>
    <row r="119" spans="1:10">
      <c r="A119" s="2" t="s">
        <v>225</v>
      </c>
      <c r="B119" s="2"/>
      <c r="C119" s="2" t="s">
        <v>208</v>
      </c>
      <c r="D119" s="2" t="s">
        <v>205</v>
      </c>
      <c r="E119" s="2" t="s">
        <v>183</v>
      </c>
      <c r="F119" s="2" t="s">
        <v>184</v>
      </c>
      <c r="G119" s="2" t="s">
        <v>262</v>
      </c>
      <c r="H119" s="2" t="s">
        <v>287</v>
      </c>
      <c r="I119" s="6" t="s">
        <v>264</v>
      </c>
      <c r="J119" s="2"/>
    </row>
    <row r="120" spans="1:10">
      <c r="A120" s="2" t="s">
        <v>225</v>
      </c>
      <c r="B120" s="2"/>
      <c r="C120" s="2" t="s">
        <v>208</v>
      </c>
      <c r="D120" s="2" t="s">
        <v>205</v>
      </c>
      <c r="E120" s="2" t="s">
        <v>185</v>
      </c>
      <c r="F120" s="2" t="s">
        <v>186</v>
      </c>
      <c r="G120" s="2" t="s">
        <v>262</v>
      </c>
      <c r="H120" s="2" t="s">
        <v>312</v>
      </c>
      <c r="I120" s="6" t="s">
        <v>269</v>
      </c>
      <c r="J120" s="2"/>
    </row>
    <row r="121" spans="1:10">
      <c r="A121" s="2" t="s">
        <v>225</v>
      </c>
      <c r="B121" s="2"/>
      <c r="C121" s="2" t="s">
        <v>209</v>
      </c>
      <c r="D121" s="2" t="s">
        <v>205</v>
      </c>
      <c r="E121" s="1" t="s">
        <v>241</v>
      </c>
      <c r="F121" s="2" t="s">
        <v>187</v>
      </c>
      <c r="G121" s="2" t="s">
        <v>266</v>
      </c>
      <c r="H121" s="2" t="s">
        <v>313</v>
      </c>
      <c r="I121" s="2" t="s">
        <v>264</v>
      </c>
      <c r="J121" s="2"/>
    </row>
    <row r="122" spans="1:10">
      <c r="A122" s="2" t="s">
        <v>225</v>
      </c>
      <c r="B122" s="2"/>
      <c r="C122" s="2" t="s">
        <v>209</v>
      </c>
      <c r="D122" s="2" t="s">
        <v>205</v>
      </c>
      <c r="E122" s="1" t="s">
        <v>242</v>
      </c>
      <c r="F122" s="2" t="s">
        <v>188</v>
      </c>
      <c r="G122" s="2" t="s">
        <v>266</v>
      </c>
      <c r="H122" s="2" t="s">
        <v>314</v>
      </c>
      <c r="I122" s="2" t="s">
        <v>264</v>
      </c>
      <c r="J122" s="2"/>
    </row>
    <row r="123" spans="1:10">
      <c r="A123" s="2" t="s">
        <v>225</v>
      </c>
      <c r="B123" s="2"/>
      <c r="C123" s="2" t="s">
        <v>208</v>
      </c>
      <c r="D123" s="2" t="s">
        <v>206</v>
      </c>
      <c r="E123" s="1" t="s">
        <v>243</v>
      </c>
      <c r="F123" s="2" t="s">
        <v>189</v>
      </c>
      <c r="G123" s="2" t="s">
        <v>262</v>
      </c>
      <c r="H123" s="2" t="s">
        <v>287</v>
      </c>
      <c r="I123" s="2" t="s">
        <v>264</v>
      </c>
      <c r="J123" s="2"/>
    </row>
    <row r="124" spans="1:10">
      <c r="A124" s="2" t="s">
        <v>225</v>
      </c>
      <c r="B124" s="2"/>
      <c r="C124" s="2" t="s">
        <v>208</v>
      </c>
      <c r="D124" s="2" t="s">
        <v>206</v>
      </c>
      <c r="E124" s="2" t="s">
        <v>190</v>
      </c>
      <c r="F124" s="2" t="s">
        <v>191</v>
      </c>
      <c r="G124" s="2" t="s">
        <v>262</v>
      </c>
      <c r="H124" s="2" t="s">
        <v>315</v>
      </c>
      <c r="I124" s="2" t="s">
        <v>264</v>
      </c>
      <c r="J124" s="2"/>
    </row>
    <row r="125" spans="1:10">
      <c r="A125" s="2" t="s">
        <v>225</v>
      </c>
      <c r="B125" s="2"/>
      <c r="C125" s="2" t="s">
        <v>208</v>
      </c>
      <c r="D125" s="2" t="s">
        <v>206</v>
      </c>
      <c r="E125" s="2" t="s">
        <v>192</v>
      </c>
      <c r="F125" s="2" t="s">
        <v>193</v>
      </c>
      <c r="G125" s="2" t="s">
        <v>262</v>
      </c>
      <c r="H125" s="2" t="s">
        <v>316</v>
      </c>
      <c r="I125" s="6" t="s">
        <v>269</v>
      </c>
      <c r="J125" s="2"/>
    </row>
    <row r="126" spans="1:10">
      <c r="A126" s="2" t="s">
        <v>225</v>
      </c>
      <c r="B126" s="2"/>
      <c r="C126" s="2" t="s">
        <v>208</v>
      </c>
      <c r="D126" s="2" t="s">
        <v>206</v>
      </c>
      <c r="E126" s="2" t="s">
        <v>317</v>
      </c>
      <c r="F126" s="2" t="s">
        <v>193</v>
      </c>
      <c r="G126" s="2" t="s">
        <v>266</v>
      </c>
      <c r="H126" s="2" t="s">
        <v>316</v>
      </c>
      <c r="I126" s="6" t="s">
        <v>269</v>
      </c>
      <c r="J126" s="2"/>
    </row>
    <row r="127" spans="1:10">
      <c r="A127" s="2" t="s">
        <v>225</v>
      </c>
      <c r="B127" s="2"/>
      <c r="C127" s="2" t="s">
        <v>209</v>
      </c>
      <c r="D127" s="2" t="s">
        <v>206</v>
      </c>
      <c r="E127" s="2" t="s">
        <v>194</v>
      </c>
      <c r="F127" s="2" t="s">
        <v>195</v>
      </c>
      <c r="G127" s="2" t="s">
        <v>262</v>
      </c>
      <c r="H127" s="2" t="s">
        <v>287</v>
      </c>
      <c r="I127" s="2" t="s">
        <v>264</v>
      </c>
      <c r="J127" s="2"/>
    </row>
    <row r="128" spans="1:10">
      <c r="A128" s="2" t="s">
        <v>225</v>
      </c>
      <c r="B128" s="2"/>
      <c r="C128" s="2" t="s">
        <v>209</v>
      </c>
      <c r="D128" s="2" t="s">
        <v>206</v>
      </c>
      <c r="E128" s="1" t="s">
        <v>244</v>
      </c>
      <c r="F128" s="2" t="s">
        <v>196</v>
      </c>
      <c r="G128" s="2" t="s">
        <v>262</v>
      </c>
      <c r="H128" s="2" t="s">
        <v>287</v>
      </c>
      <c r="I128" s="2" t="s">
        <v>264</v>
      </c>
      <c r="J128" s="2"/>
    </row>
    <row r="129" spans="1:10">
      <c r="A129" s="2" t="s">
        <v>225</v>
      </c>
      <c r="B129" s="2"/>
      <c r="C129" s="2" t="s">
        <v>209</v>
      </c>
      <c r="D129" s="2" t="s">
        <v>206</v>
      </c>
      <c r="E129" s="2" t="s">
        <v>197</v>
      </c>
      <c r="F129" s="2" t="s">
        <v>198</v>
      </c>
      <c r="G129" s="2" t="s">
        <v>262</v>
      </c>
      <c r="H129" s="2" t="s">
        <v>318</v>
      </c>
      <c r="I129" s="2" t="s">
        <v>264</v>
      </c>
      <c r="J129" s="2"/>
    </row>
    <row r="130" spans="1:10">
      <c r="A130" s="2" t="s">
        <v>225</v>
      </c>
      <c r="B130" s="2"/>
      <c r="C130" s="2" t="s">
        <v>208</v>
      </c>
      <c r="D130" s="2" t="s">
        <v>205</v>
      </c>
      <c r="E130" s="1" t="s">
        <v>238</v>
      </c>
      <c r="F130" s="1" t="s">
        <v>179</v>
      </c>
      <c r="G130" s="2" t="s">
        <v>266</v>
      </c>
      <c r="H130" s="2" t="s">
        <v>318</v>
      </c>
      <c r="I130" s="2" t="s">
        <v>264</v>
      </c>
      <c r="J130" s="2"/>
    </row>
    <row r="131" spans="1:10">
      <c r="A131" s="2" t="s">
        <v>225</v>
      </c>
      <c r="B131" s="2"/>
      <c r="C131" s="2" t="s">
        <v>208</v>
      </c>
      <c r="D131" s="2" t="s">
        <v>205</v>
      </c>
      <c r="E131" s="1" t="s">
        <v>239</v>
      </c>
      <c r="F131" s="1" t="s">
        <v>181</v>
      </c>
      <c r="G131" s="2"/>
      <c r="H131" s="2" t="s">
        <v>318</v>
      </c>
      <c r="I131" s="2" t="s">
        <v>264</v>
      </c>
      <c r="J131" s="2"/>
    </row>
    <row r="132" spans="1:10">
      <c r="A132" s="2" t="s">
        <v>226</v>
      </c>
      <c r="B132" s="2"/>
      <c r="C132" s="2" t="s">
        <v>208</v>
      </c>
      <c r="D132" s="2" t="s">
        <v>207</v>
      </c>
      <c r="E132" s="1" t="s">
        <v>231</v>
      </c>
      <c r="F132" s="2" t="s">
        <v>146</v>
      </c>
      <c r="G132" s="2" t="s">
        <v>266</v>
      </c>
      <c r="H132" s="2" t="s">
        <v>319</v>
      </c>
      <c r="I132" s="2" t="s">
        <v>269</v>
      </c>
      <c r="J132" s="2" t="s">
        <v>320</v>
      </c>
    </row>
    <row r="133" spans="1:10">
      <c r="A133" s="2" t="s">
        <v>226</v>
      </c>
      <c r="B133" s="2"/>
      <c r="C133" s="2" t="s">
        <v>209</v>
      </c>
      <c r="D133" s="2" t="s">
        <v>207</v>
      </c>
      <c r="E133" s="1" t="s">
        <v>231</v>
      </c>
      <c r="F133" s="2" t="s">
        <v>146</v>
      </c>
      <c r="G133" s="2" t="s">
        <v>266</v>
      </c>
      <c r="H133" s="2" t="s">
        <v>319</v>
      </c>
      <c r="I133" s="2" t="s">
        <v>269</v>
      </c>
      <c r="J133" s="2" t="s">
        <v>320</v>
      </c>
    </row>
    <row r="134" spans="1:10">
      <c r="A134" s="2" t="s">
        <v>226</v>
      </c>
      <c r="B134" s="2"/>
      <c r="C134" s="2" t="s">
        <v>208</v>
      </c>
      <c r="D134" s="2" t="s">
        <v>207</v>
      </c>
      <c r="E134" s="1" t="s">
        <v>232</v>
      </c>
      <c r="F134" s="2" t="s">
        <v>199</v>
      </c>
      <c r="G134" s="2" t="s">
        <v>266</v>
      </c>
      <c r="H134" s="2" t="s">
        <v>287</v>
      </c>
      <c r="I134" s="2" t="s">
        <v>264</v>
      </c>
      <c r="J134" s="2" t="s">
        <v>320</v>
      </c>
    </row>
    <row r="135" spans="1:10">
      <c r="A135" s="2" t="s">
        <v>226</v>
      </c>
      <c r="B135" s="2"/>
      <c r="C135" s="2" t="s">
        <v>208</v>
      </c>
      <c r="D135" s="2" t="s">
        <v>207</v>
      </c>
      <c r="E135" s="1" t="s">
        <v>233</v>
      </c>
      <c r="F135" s="2" t="s">
        <v>200</v>
      </c>
      <c r="G135" s="2" t="s">
        <v>266</v>
      </c>
      <c r="H135" s="2" t="s">
        <v>316</v>
      </c>
      <c r="I135" s="2" t="s">
        <v>269</v>
      </c>
      <c r="J135" s="2" t="s">
        <v>321</v>
      </c>
    </row>
    <row r="136" spans="1:10">
      <c r="A136" s="2" t="s">
        <v>226</v>
      </c>
      <c r="B136" s="2"/>
      <c r="C136" s="2" t="s">
        <v>208</v>
      </c>
      <c r="D136" s="2" t="s">
        <v>207</v>
      </c>
      <c r="E136" s="1" t="s">
        <v>234</v>
      </c>
      <c r="F136" s="2" t="s">
        <v>201</v>
      </c>
      <c r="G136" s="2" t="s">
        <v>266</v>
      </c>
      <c r="H136" s="2" t="s">
        <v>287</v>
      </c>
      <c r="I136" s="2" t="s">
        <v>264</v>
      </c>
      <c r="J136" s="2" t="s">
        <v>322</v>
      </c>
    </row>
    <row r="137" spans="1:10">
      <c r="A137" s="2" t="s">
        <v>226</v>
      </c>
      <c r="B137" s="2"/>
      <c r="C137" s="2" t="s">
        <v>209</v>
      </c>
      <c r="D137" s="2" t="s">
        <v>207</v>
      </c>
      <c r="E137" s="1" t="s">
        <v>235</v>
      </c>
      <c r="F137" s="2" t="s">
        <v>202</v>
      </c>
      <c r="G137" s="2" t="s">
        <v>266</v>
      </c>
      <c r="H137" s="2" t="s">
        <v>287</v>
      </c>
      <c r="I137" s="2" t="s">
        <v>264</v>
      </c>
      <c r="J137" s="2" t="s">
        <v>320</v>
      </c>
    </row>
    <row r="138" spans="1:10">
      <c r="A138" s="2" t="s">
        <v>226</v>
      </c>
      <c r="B138" s="2"/>
      <c r="C138" s="2" t="s">
        <v>209</v>
      </c>
      <c r="D138" s="2" t="s">
        <v>207</v>
      </c>
      <c r="E138" s="1" t="s">
        <v>236</v>
      </c>
      <c r="F138" s="2" t="s">
        <v>203</v>
      </c>
      <c r="G138" s="2" t="s">
        <v>266</v>
      </c>
      <c r="H138" s="2" t="s">
        <v>287</v>
      </c>
      <c r="I138" s="2" t="s">
        <v>264</v>
      </c>
      <c r="J138" s="2" t="s">
        <v>323</v>
      </c>
    </row>
    <row r="139" spans="1:10">
      <c r="A139" s="2" t="s">
        <v>226</v>
      </c>
      <c r="B139" s="2"/>
      <c r="C139" s="2" t="s">
        <v>209</v>
      </c>
      <c r="D139" s="2" t="s">
        <v>207</v>
      </c>
      <c r="E139" s="1" t="s">
        <v>237</v>
      </c>
      <c r="F139" s="2" t="s">
        <v>204</v>
      </c>
      <c r="G139" s="2" t="s">
        <v>266</v>
      </c>
      <c r="H139" s="2" t="s">
        <v>287</v>
      </c>
      <c r="I139" s="2" t="s">
        <v>264</v>
      </c>
      <c r="J139" s="2" t="s">
        <v>324</v>
      </c>
    </row>
  </sheetData>
  <mergeCells count="18">
    <mergeCell ref="E114:E115"/>
    <mergeCell ref="E103:E104"/>
    <mergeCell ref="G103:G104"/>
    <mergeCell ref="H103:H104"/>
    <mergeCell ref="A103:A104"/>
    <mergeCell ref="B103:B104"/>
    <mergeCell ref="C103:C104"/>
    <mergeCell ref="D103:D104"/>
    <mergeCell ref="A114:A115"/>
    <mergeCell ref="B114:B115"/>
    <mergeCell ref="C114:C115"/>
    <mergeCell ref="D114:D115"/>
    <mergeCell ref="I103:I104"/>
    <mergeCell ref="J103:J104"/>
    <mergeCell ref="G114:G115"/>
    <mergeCell ref="H114:H115"/>
    <mergeCell ref="I114:I115"/>
    <mergeCell ref="J114:J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Ada Zheng</cp:lastModifiedBy>
  <dcterms:created xsi:type="dcterms:W3CDTF">2015-06-05T18:17:20Z</dcterms:created>
  <dcterms:modified xsi:type="dcterms:W3CDTF">2026-05-23T13:35:19Z</dcterms:modified>
</cp:coreProperties>
</file>